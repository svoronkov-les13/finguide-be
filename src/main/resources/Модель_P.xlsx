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bart/Desktop/5_Portal/"/>
    </mc:Choice>
  </mc:AlternateContent>
  <xr:revisionPtr revIDLastSave="0" documentId="13_ncr:1_{2D502227-D29E-334F-8615-B4822707A19E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Вводные" sheetId="1" r:id="rId1"/>
    <sheet name="Доходы" sheetId="3" r:id="rId2"/>
    <sheet name="Расходы" sheetId="4" r:id="rId3"/>
    <sheet name="Цели" sheetId="6" r:id="rId4"/>
    <sheet name="Баланс" sheetId="10" r:id="rId5"/>
    <sheet name="Сбережения" sheetId="11" r:id="rId6"/>
    <sheet name="Пенсия" sheetId="1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6" i="1" l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L36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M36" i="1"/>
  <c r="F44" i="1"/>
  <c r="F21" i="1"/>
  <c r="D29" i="1" l="1"/>
  <c r="D30" i="1"/>
  <c r="F115" i="1"/>
  <c r="F69" i="1"/>
  <c r="F35" i="12" l="1"/>
  <c r="F16" i="12"/>
  <c r="F32" i="12" s="1"/>
  <c r="I44" i="12" s="1"/>
  <c r="F13" i="12"/>
  <c r="F29" i="12" s="1"/>
  <c r="F12" i="12"/>
  <c r="F28" i="12" s="1"/>
  <c r="B8" i="12"/>
  <c r="C10" i="12" s="1"/>
  <c r="D5" i="12"/>
  <c r="D4" i="12"/>
  <c r="D3" i="12"/>
  <c r="K23" i="12"/>
  <c r="J23" i="12"/>
  <c r="J24" i="12" s="1"/>
  <c r="C26" i="12" l="1"/>
  <c r="K24" i="12"/>
  <c r="F14" i="12"/>
  <c r="F30" i="12" l="1"/>
  <c r="I40" i="12"/>
  <c r="J40" i="12" s="1"/>
  <c r="K40" i="12" s="1"/>
  <c r="L40" i="12" s="1"/>
  <c r="M40" i="12" s="1"/>
  <c r="N40" i="12" s="1"/>
  <c r="O40" i="12" s="1"/>
  <c r="P40" i="12" s="1"/>
  <c r="Q40" i="12" s="1"/>
  <c r="R40" i="12" s="1"/>
  <c r="S40" i="12" s="1"/>
  <c r="T40" i="12" s="1"/>
  <c r="U40" i="12" s="1"/>
  <c r="V40" i="12" s="1"/>
  <c r="W40" i="12" s="1"/>
  <c r="X40" i="12" s="1"/>
  <c r="Y40" i="12" s="1"/>
  <c r="Z40" i="12" s="1"/>
  <c r="AA40" i="12" s="1"/>
  <c r="AB40" i="12" s="1"/>
  <c r="AC40" i="12" s="1"/>
  <c r="AD40" i="12" s="1"/>
  <c r="AE40" i="12" s="1"/>
  <c r="AF40" i="12" s="1"/>
  <c r="AG40" i="12" s="1"/>
  <c r="AH40" i="12" s="1"/>
  <c r="AI40" i="12" s="1"/>
  <c r="AJ40" i="12" s="1"/>
  <c r="AK40" i="12" s="1"/>
  <c r="AL40" i="12" s="1"/>
  <c r="AM40" i="12" s="1"/>
  <c r="AN40" i="12" s="1"/>
  <c r="AO40" i="12" s="1"/>
  <c r="AP40" i="12" s="1"/>
  <c r="AQ40" i="12" s="1"/>
  <c r="AR40" i="12" s="1"/>
  <c r="AS40" i="12" s="1"/>
  <c r="AT40" i="12" s="1"/>
  <c r="AU40" i="12" s="1"/>
  <c r="AV40" i="12" s="1"/>
  <c r="AW40" i="12" s="1"/>
  <c r="AX40" i="12" s="1"/>
  <c r="AY40" i="12" s="1"/>
  <c r="AZ40" i="12" s="1"/>
  <c r="BA40" i="12" s="1"/>
  <c r="BB40" i="12" s="1"/>
  <c r="BC40" i="12" s="1"/>
  <c r="BD40" i="12" s="1"/>
  <c r="BE40" i="12" s="1"/>
  <c r="BF40" i="12" s="1"/>
  <c r="BG40" i="12" s="1"/>
  <c r="BH40" i="12" s="1"/>
  <c r="BI40" i="12" s="1"/>
  <c r="BJ40" i="12" s="1"/>
  <c r="D5" i="11" l="1"/>
  <c r="D4" i="11"/>
  <c r="D3" i="11"/>
  <c r="D5" i="6"/>
  <c r="D4" i="6"/>
  <c r="D3" i="6"/>
  <c r="D5" i="4"/>
  <c r="D4" i="4"/>
  <c r="D3" i="4"/>
  <c r="D5" i="3"/>
  <c r="D4" i="3"/>
  <c r="D3" i="3"/>
  <c r="D253" i="1"/>
  <c r="D252" i="1"/>
  <c r="D251" i="1"/>
  <c r="D250" i="1"/>
  <c r="D249" i="1"/>
  <c r="D248" i="1"/>
  <c r="D247" i="1"/>
  <c r="D246" i="1"/>
  <c r="D245" i="1"/>
  <c r="D244" i="1"/>
  <c r="D78" i="6"/>
  <c r="D77" i="6"/>
  <c r="D76" i="6"/>
  <c r="D75" i="6"/>
  <c r="D74" i="6"/>
  <c r="D73" i="6"/>
  <c r="D72" i="6"/>
  <c r="D71" i="6"/>
  <c r="D70" i="6"/>
  <c r="D69" i="6"/>
  <c r="F15" i="11"/>
  <c r="BI15" i="11" s="1"/>
  <c r="B8" i="11"/>
  <c r="N15" i="11" l="1"/>
  <c r="AT15" i="11"/>
  <c r="V15" i="11"/>
  <c r="BB15" i="11"/>
  <c r="AD15" i="11"/>
  <c r="AL15" i="11"/>
  <c r="O15" i="11"/>
  <c r="W15" i="11"/>
  <c r="AE15" i="11"/>
  <c r="AM15" i="11"/>
  <c r="AU15" i="11"/>
  <c r="BC15" i="11"/>
  <c r="J15" i="11"/>
  <c r="R15" i="11"/>
  <c r="Z15" i="11"/>
  <c r="AH15" i="11"/>
  <c r="AP15" i="11"/>
  <c r="AX15" i="11"/>
  <c r="BF15" i="11"/>
  <c r="K15" i="11"/>
  <c r="S15" i="11"/>
  <c r="AA15" i="11"/>
  <c r="AI15" i="11"/>
  <c r="AQ15" i="11"/>
  <c r="AY15" i="11"/>
  <c r="BG15" i="11"/>
  <c r="L15" i="11"/>
  <c r="P15" i="11"/>
  <c r="T15" i="11"/>
  <c r="X15" i="11"/>
  <c r="AB15" i="11"/>
  <c r="AF15" i="11"/>
  <c r="AJ15" i="11"/>
  <c r="AN15" i="11"/>
  <c r="AR15" i="11"/>
  <c r="AV15" i="11"/>
  <c r="AZ15" i="11"/>
  <c r="BD15" i="11"/>
  <c r="BH15" i="11"/>
  <c r="M15" i="11"/>
  <c r="Q15" i="11"/>
  <c r="U15" i="11"/>
  <c r="Y15" i="11"/>
  <c r="AC15" i="11"/>
  <c r="AG15" i="11"/>
  <c r="AK15" i="11"/>
  <c r="AO15" i="11"/>
  <c r="AS15" i="11"/>
  <c r="AW15" i="11"/>
  <c r="BA15" i="11"/>
  <c r="BE15" i="11"/>
  <c r="D34" i="6" l="1"/>
  <c r="D33" i="6"/>
  <c r="D32" i="6"/>
  <c r="D31" i="6"/>
  <c r="D30" i="6"/>
  <c r="D29" i="6"/>
  <c r="D28" i="6"/>
  <c r="D27" i="6"/>
  <c r="D26" i="6"/>
  <c r="D25" i="6"/>
  <c r="D22" i="6"/>
  <c r="D21" i="6"/>
  <c r="D20" i="6"/>
  <c r="D19" i="6"/>
  <c r="D18" i="6"/>
  <c r="D17" i="6"/>
  <c r="D16" i="6"/>
  <c r="D15" i="6"/>
  <c r="D14" i="6"/>
  <c r="D13" i="6"/>
  <c r="B8" i="6"/>
  <c r="B36" i="6" s="1"/>
  <c r="D241" i="1"/>
  <c r="D240" i="1"/>
  <c r="D239" i="1"/>
  <c r="D238" i="1"/>
  <c r="D237" i="1"/>
  <c r="D236" i="1"/>
  <c r="D235" i="1"/>
  <c r="D234" i="1"/>
  <c r="D233" i="1"/>
  <c r="D232" i="1"/>
  <c r="B46" i="4"/>
  <c r="D173" i="1"/>
  <c r="D172" i="1"/>
  <c r="D171" i="1"/>
  <c r="D170" i="1"/>
  <c r="D169" i="1"/>
  <c r="D168" i="1"/>
  <c r="D167" i="1"/>
  <c r="D166" i="1"/>
  <c r="D165" i="1"/>
  <c r="D164" i="1"/>
  <c r="D44" i="4"/>
  <c r="D43" i="4"/>
  <c r="D42" i="4"/>
  <c r="D41" i="4"/>
  <c r="D40" i="4"/>
  <c r="D39" i="4"/>
  <c r="D38" i="4"/>
  <c r="D37" i="4"/>
  <c r="D36" i="4"/>
  <c r="D35" i="4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B8" i="4"/>
  <c r="C10" i="6" l="1"/>
  <c r="C10" i="4"/>
  <c r="D56" i="1"/>
  <c r="D55" i="1"/>
  <c r="D54" i="1"/>
  <c r="D53" i="1"/>
  <c r="D52" i="1"/>
  <c r="D33" i="1"/>
  <c r="D32" i="1"/>
  <c r="D31" i="1"/>
  <c r="D24" i="3"/>
  <c r="D23" i="3"/>
  <c r="D22" i="3"/>
  <c r="D21" i="3"/>
  <c r="D20" i="3"/>
  <c r="D17" i="3"/>
  <c r="D16" i="3"/>
  <c r="D15" i="3"/>
  <c r="D14" i="3"/>
  <c r="D13" i="3"/>
  <c r="C50" i="4" l="1"/>
  <c r="C96" i="4" s="1"/>
  <c r="D51" i="6"/>
  <c r="D47" i="6"/>
  <c r="D45" i="6"/>
  <c r="I52" i="6"/>
  <c r="I51" i="6"/>
  <c r="I50" i="6"/>
  <c r="I49" i="6"/>
  <c r="I48" i="6"/>
  <c r="I47" i="6"/>
  <c r="I46" i="6"/>
  <c r="I45" i="6"/>
  <c r="I44" i="6"/>
  <c r="I43" i="6"/>
  <c r="I78" i="6"/>
  <c r="I77" i="6"/>
  <c r="I76" i="6"/>
  <c r="I75" i="6"/>
  <c r="I74" i="6"/>
  <c r="I73" i="6"/>
  <c r="I72" i="6"/>
  <c r="I71" i="6"/>
  <c r="I70" i="6"/>
  <c r="I69" i="6"/>
  <c r="D227" i="1"/>
  <c r="D226" i="1"/>
  <c r="D225" i="1"/>
  <c r="D224" i="1"/>
  <c r="D223" i="1"/>
  <c r="D222" i="1"/>
  <c r="D221" i="1"/>
  <c r="D220" i="1"/>
  <c r="D219" i="1"/>
  <c r="D218" i="1"/>
  <c r="D52" i="6"/>
  <c r="D50" i="6"/>
  <c r="D48" i="6"/>
  <c r="D46" i="6"/>
  <c r="D44" i="6"/>
  <c r="I108" i="4"/>
  <c r="D108" i="4"/>
  <c r="I107" i="4"/>
  <c r="D107" i="4"/>
  <c r="I106" i="4"/>
  <c r="D106" i="4"/>
  <c r="I105" i="4"/>
  <c r="D105" i="4"/>
  <c r="I104" i="4"/>
  <c r="D104" i="4"/>
  <c r="I103" i="4"/>
  <c r="D103" i="4"/>
  <c r="I102" i="4"/>
  <c r="D102" i="4"/>
  <c r="I101" i="4"/>
  <c r="D101" i="4"/>
  <c r="I100" i="4"/>
  <c r="D100" i="4"/>
  <c r="I99" i="4"/>
  <c r="D99" i="4"/>
  <c r="I72" i="4"/>
  <c r="D72" i="4"/>
  <c r="I71" i="4"/>
  <c r="D71" i="4"/>
  <c r="I70" i="4"/>
  <c r="D70" i="4"/>
  <c r="I69" i="4"/>
  <c r="D69" i="4"/>
  <c r="I68" i="4"/>
  <c r="D68" i="4"/>
  <c r="I67" i="4"/>
  <c r="D67" i="4"/>
  <c r="I66" i="4"/>
  <c r="D66" i="4"/>
  <c r="I65" i="4"/>
  <c r="D65" i="4"/>
  <c r="I64" i="4"/>
  <c r="D64" i="4"/>
  <c r="I63" i="4"/>
  <c r="D63" i="4"/>
  <c r="I62" i="4"/>
  <c r="D62" i="4"/>
  <c r="I61" i="4"/>
  <c r="D61" i="4"/>
  <c r="I60" i="4"/>
  <c r="D60" i="4"/>
  <c r="I59" i="4"/>
  <c r="D59" i="4"/>
  <c r="I58" i="4"/>
  <c r="D58" i="4"/>
  <c r="I57" i="4"/>
  <c r="D57" i="4"/>
  <c r="I56" i="4"/>
  <c r="D56" i="4"/>
  <c r="I55" i="4"/>
  <c r="D55" i="4"/>
  <c r="I54" i="4"/>
  <c r="D54" i="4"/>
  <c r="I53" i="4"/>
  <c r="D53" i="4"/>
  <c r="I68" i="6" l="1"/>
  <c r="D49" i="6"/>
  <c r="D43" i="6"/>
  <c r="I42" i="6"/>
  <c r="C40" i="6"/>
  <c r="C66" i="6" s="1"/>
  <c r="I52" i="4"/>
  <c r="I98" i="4"/>
  <c r="B8" i="3"/>
  <c r="B26" i="3" s="1"/>
  <c r="D201" i="1"/>
  <c r="D200" i="1"/>
  <c r="D199" i="1"/>
  <c r="D198" i="1"/>
  <c r="D197" i="1"/>
  <c r="D196" i="1"/>
  <c r="D195" i="1"/>
  <c r="D194" i="1"/>
  <c r="D193" i="1"/>
  <c r="D192" i="1"/>
  <c r="I38" i="6" l="1"/>
  <c r="F7" i="10"/>
  <c r="F5" i="10"/>
  <c r="I48" i="4"/>
  <c r="C10" i="3"/>
  <c r="D88" i="6"/>
  <c r="D62" i="6"/>
  <c r="D87" i="6"/>
  <c r="D61" i="6"/>
  <c r="D89" i="6"/>
  <c r="D63" i="6"/>
  <c r="D60" i="6"/>
  <c r="D86" i="6"/>
  <c r="D64" i="6"/>
  <c r="D90" i="6"/>
  <c r="D83" i="6"/>
  <c r="D57" i="6"/>
  <c r="D58" i="6"/>
  <c r="D84" i="6"/>
  <c r="D85" i="6"/>
  <c r="D59" i="6"/>
  <c r="D81" i="6"/>
  <c r="D55" i="6"/>
  <c r="D82" i="6"/>
  <c r="D56" i="6"/>
  <c r="AP23" i="12"/>
  <c r="AO23" i="12"/>
  <c r="AN23" i="12"/>
  <c r="AM23" i="12"/>
  <c r="AL23" i="12"/>
  <c r="AK23" i="12"/>
  <c r="AJ23" i="12"/>
  <c r="AI23" i="12"/>
  <c r="AH23" i="12"/>
  <c r="AG23" i="12"/>
  <c r="AF23" i="12"/>
  <c r="AE23" i="12"/>
  <c r="AD23" i="12"/>
  <c r="AC23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F9" i="10" l="1"/>
  <c r="L24" i="12"/>
  <c r="M24" i="12" s="1"/>
  <c r="N24" i="12" s="1"/>
  <c r="O24" i="12" s="1"/>
  <c r="P24" i="12" s="1"/>
  <c r="Q24" i="12" s="1"/>
  <c r="R24" i="12" s="1"/>
  <c r="S24" i="12" s="1"/>
  <c r="T24" i="12" s="1"/>
  <c r="U24" i="12" s="1"/>
  <c r="V24" i="12" s="1"/>
  <c r="W24" i="12" s="1"/>
  <c r="X24" i="12" s="1"/>
  <c r="Y24" i="12" s="1"/>
  <c r="Z24" i="12" s="1"/>
  <c r="AA24" i="12" s="1"/>
  <c r="AB24" i="12" s="1"/>
  <c r="AC24" i="12" s="1"/>
  <c r="AD24" i="12" s="1"/>
  <c r="AE24" i="12" s="1"/>
  <c r="AF24" i="12" s="1"/>
  <c r="AG24" i="12" s="1"/>
  <c r="AH24" i="12" s="1"/>
  <c r="AI24" i="12" s="1"/>
  <c r="AJ24" i="12" s="1"/>
  <c r="AK24" i="12" s="1"/>
  <c r="AL24" i="12" s="1"/>
  <c r="AM24" i="12" s="1"/>
  <c r="AN24" i="12" s="1"/>
  <c r="AO24" i="12" s="1"/>
  <c r="AP24" i="12" s="1"/>
  <c r="K63" i="1"/>
  <c r="K62" i="1"/>
  <c r="K60" i="1"/>
  <c r="K61" i="1"/>
  <c r="O63" i="1"/>
  <c r="O62" i="1"/>
  <c r="O60" i="1"/>
  <c r="O61" i="1"/>
  <c r="S63" i="1"/>
  <c r="S62" i="1"/>
  <c r="S60" i="1"/>
  <c r="S61" i="1"/>
  <c r="W63" i="1"/>
  <c r="W62" i="1"/>
  <c r="W60" i="1"/>
  <c r="W61" i="1"/>
  <c r="AA63" i="1"/>
  <c r="AA62" i="1"/>
  <c r="AA60" i="1"/>
  <c r="AA61" i="1"/>
  <c r="AE63" i="1"/>
  <c r="AE62" i="1"/>
  <c r="AE60" i="1"/>
  <c r="AE61" i="1"/>
  <c r="AI63" i="1"/>
  <c r="AI62" i="1"/>
  <c r="AI60" i="1"/>
  <c r="AI61" i="1"/>
  <c r="L62" i="1"/>
  <c r="L61" i="1"/>
  <c r="L63" i="1"/>
  <c r="L60" i="1"/>
  <c r="P62" i="1"/>
  <c r="P61" i="1"/>
  <c r="P63" i="1"/>
  <c r="P60" i="1"/>
  <c r="T62" i="1"/>
  <c r="T61" i="1"/>
  <c r="T63" i="1"/>
  <c r="T60" i="1"/>
  <c r="X62" i="1"/>
  <c r="X61" i="1"/>
  <c r="X63" i="1"/>
  <c r="X60" i="1"/>
  <c r="AB62" i="1"/>
  <c r="AB61" i="1"/>
  <c r="AB63" i="1"/>
  <c r="AB60" i="1"/>
  <c r="AF62" i="1"/>
  <c r="AF61" i="1"/>
  <c r="AF63" i="1"/>
  <c r="AF60" i="1"/>
  <c r="AJ62" i="1"/>
  <c r="AJ61" i="1"/>
  <c r="AJ60" i="1"/>
  <c r="AJ63" i="1"/>
  <c r="AN62" i="1"/>
  <c r="AN61" i="1"/>
  <c r="AN63" i="1"/>
  <c r="AN60" i="1"/>
  <c r="M61" i="1"/>
  <c r="M62" i="1"/>
  <c r="M63" i="1"/>
  <c r="M60" i="1"/>
  <c r="Q61" i="1"/>
  <c r="Q63" i="1"/>
  <c r="Q62" i="1"/>
  <c r="Q60" i="1"/>
  <c r="U61" i="1"/>
  <c r="U62" i="1"/>
  <c r="U63" i="1"/>
  <c r="U60" i="1"/>
  <c r="Y61" i="1"/>
  <c r="Y63" i="1"/>
  <c r="Y60" i="1"/>
  <c r="Y62" i="1"/>
  <c r="AC61" i="1"/>
  <c r="AC62" i="1"/>
  <c r="AC63" i="1"/>
  <c r="AC60" i="1"/>
  <c r="AG61" i="1"/>
  <c r="AG63" i="1"/>
  <c r="AG62" i="1"/>
  <c r="AG60" i="1"/>
  <c r="AK61" i="1"/>
  <c r="AK62" i="1"/>
  <c r="AK63" i="1"/>
  <c r="AK60" i="1"/>
  <c r="AO61" i="1"/>
  <c r="AO63" i="1"/>
  <c r="AO62" i="1"/>
  <c r="AO60" i="1"/>
  <c r="J60" i="3"/>
  <c r="J58" i="3"/>
  <c r="J43" i="3"/>
  <c r="J59" i="3"/>
  <c r="J57" i="3"/>
  <c r="J44" i="3"/>
  <c r="J42" i="3"/>
  <c r="J40" i="3"/>
  <c r="N63" i="1"/>
  <c r="N60" i="1"/>
  <c r="N62" i="1"/>
  <c r="N61" i="1"/>
  <c r="R63" i="1"/>
  <c r="R61" i="1"/>
  <c r="R62" i="1"/>
  <c r="R60" i="1"/>
  <c r="V63" i="1"/>
  <c r="V60" i="1"/>
  <c r="V62" i="1"/>
  <c r="V61" i="1"/>
  <c r="Z63" i="1"/>
  <c r="Z61" i="1"/>
  <c r="Z62" i="1"/>
  <c r="Z60" i="1"/>
  <c r="AD63" i="1"/>
  <c r="AD60" i="1"/>
  <c r="AD62" i="1"/>
  <c r="AD61" i="1"/>
  <c r="AH63" i="1"/>
  <c r="AH61" i="1"/>
  <c r="AH62" i="1"/>
  <c r="AH60" i="1"/>
  <c r="AL63" i="1"/>
  <c r="AL60" i="1"/>
  <c r="AL62" i="1"/>
  <c r="AL61" i="1"/>
  <c r="AP63" i="1"/>
  <c r="AP61" i="1"/>
  <c r="AP62" i="1"/>
  <c r="AP60" i="1"/>
  <c r="AM63" i="1"/>
  <c r="AM62" i="1"/>
  <c r="AM60" i="1"/>
  <c r="AM61" i="1"/>
  <c r="O226" i="1"/>
  <c r="O223" i="1"/>
  <c r="O222" i="1"/>
  <c r="O221" i="1"/>
  <c r="O218" i="1"/>
  <c r="O225" i="1"/>
  <c r="O224" i="1"/>
  <c r="O220" i="1"/>
  <c r="O219" i="1"/>
  <c r="O227" i="1"/>
  <c r="AA226" i="1"/>
  <c r="AA227" i="1"/>
  <c r="AA221" i="1"/>
  <c r="AA225" i="1"/>
  <c r="AA224" i="1"/>
  <c r="AA220" i="1"/>
  <c r="AA218" i="1"/>
  <c r="AA223" i="1"/>
  <c r="AA219" i="1"/>
  <c r="AA222" i="1"/>
  <c r="AI226" i="1"/>
  <c r="AI225" i="1"/>
  <c r="AI224" i="1"/>
  <c r="AI227" i="1"/>
  <c r="AI223" i="1"/>
  <c r="AI222" i="1"/>
  <c r="AI221" i="1"/>
  <c r="AI219" i="1"/>
  <c r="AI218" i="1"/>
  <c r="AI220" i="1"/>
  <c r="AM226" i="1"/>
  <c r="AM224" i="1"/>
  <c r="AM221" i="1"/>
  <c r="AM219" i="1"/>
  <c r="AM225" i="1"/>
  <c r="AM218" i="1"/>
  <c r="AM227" i="1"/>
  <c r="AM223" i="1"/>
  <c r="AM222" i="1"/>
  <c r="AM220" i="1"/>
  <c r="L226" i="1"/>
  <c r="L224" i="1"/>
  <c r="L222" i="1"/>
  <c r="L227" i="1"/>
  <c r="L225" i="1"/>
  <c r="L219" i="1"/>
  <c r="L223" i="1"/>
  <c r="L221" i="1"/>
  <c r="L218" i="1"/>
  <c r="L220" i="1"/>
  <c r="P226" i="1"/>
  <c r="P224" i="1"/>
  <c r="P222" i="1"/>
  <c r="P225" i="1"/>
  <c r="P221" i="1"/>
  <c r="P220" i="1"/>
  <c r="P219" i="1"/>
  <c r="P227" i="1"/>
  <c r="P223" i="1"/>
  <c r="P218" i="1"/>
  <c r="T226" i="1"/>
  <c r="T224" i="1"/>
  <c r="T222" i="1"/>
  <c r="T227" i="1"/>
  <c r="T223" i="1"/>
  <c r="T221" i="1"/>
  <c r="T220" i="1"/>
  <c r="T219" i="1"/>
  <c r="T225" i="1"/>
  <c r="T218" i="1"/>
  <c r="X226" i="1"/>
  <c r="X224" i="1"/>
  <c r="X222" i="1"/>
  <c r="X225" i="1"/>
  <c r="X223" i="1"/>
  <c r="X227" i="1"/>
  <c r="X219" i="1"/>
  <c r="X221" i="1"/>
  <c r="X220" i="1"/>
  <c r="X218" i="1"/>
  <c r="AB226" i="1"/>
  <c r="AB224" i="1"/>
  <c r="AB222" i="1"/>
  <c r="AB227" i="1"/>
  <c r="AB225" i="1"/>
  <c r="AB223" i="1"/>
  <c r="AB219" i="1"/>
  <c r="AB221" i="1"/>
  <c r="AB220" i="1"/>
  <c r="AB218" i="1"/>
  <c r="AF226" i="1"/>
  <c r="AF224" i="1"/>
  <c r="AF222" i="1"/>
  <c r="AF221" i="1"/>
  <c r="AF223" i="1"/>
  <c r="AF220" i="1"/>
  <c r="AF227" i="1"/>
  <c r="AF225" i="1"/>
  <c r="AF219" i="1"/>
  <c r="AF218" i="1"/>
  <c r="AJ226" i="1"/>
  <c r="AJ224" i="1"/>
  <c r="AJ222" i="1"/>
  <c r="AJ227" i="1"/>
  <c r="AJ223" i="1"/>
  <c r="AJ221" i="1"/>
  <c r="AJ225" i="1"/>
  <c r="AJ220" i="1"/>
  <c r="AJ218" i="1"/>
  <c r="AJ219" i="1"/>
  <c r="AN226" i="1"/>
  <c r="AN224" i="1"/>
  <c r="AN222" i="1"/>
  <c r="AN221" i="1"/>
  <c r="AN225" i="1"/>
  <c r="AN223" i="1"/>
  <c r="AN227" i="1"/>
  <c r="AN219" i="1"/>
  <c r="AN220" i="1"/>
  <c r="AN218" i="1"/>
  <c r="W226" i="1"/>
  <c r="W225" i="1"/>
  <c r="W224" i="1"/>
  <c r="W221" i="1"/>
  <c r="W222" i="1"/>
  <c r="W218" i="1"/>
  <c r="W227" i="1"/>
  <c r="W219" i="1"/>
  <c r="W223" i="1"/>
  <c r="W220" i="1"/>
  <c r="M227" i="1"/>
  <c r="M226" i="1"/>
  <c r="M225" i="1"/>
  <c r="M224" i="1"/>
  <c r="M223" i="1"/>
  <c r="M220" i="1"/>
  <c r="M222" i="1"/>
  <c r="M219" i="1"/>
  <c r="M221" i="1"/>
  <c r="M218" i="1"/>
  <c r="Q227" i="1"/>
  <c r="Q225" i="1"/>
  <c r="Q220" i="1"/>
  <c r="Q226" i="1"/>
  <c r="Q224" i="1"/>
  <c r="Q219" i="1"/>
  <c r="Q223" i="1"/>
  <c r="Q218" i="1"/>
  <c r="Q222" i="1"/>
  <c r="Q221" i="1"/>
  <c r="U227" i="1"/>
  <c r="U226" i="1"/>
  <c r="U222" i="1"/>
  <c r="U220" i="1"/>
  <c r="U223" i="1"/>
  <c r="U221" i="1"/>
  <c r="U219" i="1"/>
  <c r="U225" i="1"/>
  <c r="U218" i="1"/>
  <c r="U224" i="1"/>
  <c r="Y227" i="1"/>
  <c r="Y224" i="1"/>
  <c r="Y223" i="1"/>
  <c r="Y222" i="1"/>
  <c r="Y220" i="1"/>
  <c r="Y219" i="1"/>
  <c r="Y225" i="1"/>
  <c r="Y221" i="1"/>
  <c r="Y226" i="1"/>
  <c r="Y218" i="1"/>
  <c r="AC227" i="1"/>
  <c r="AC226" i="1"/>
  <c r="AC225" i="1"/>
  <c r="AC224" i="1"/>
  <c r="AC223" i="1"/>
  <c r="AC220" i="1"/>
  <c r="AC219" i="1"/>
  <c r="AC222" i="1"/>
  <c r="AC221" i="1"/>
  <c r="AC218" i="1"/>
  <c r="AG227" i="1"/>
  <c r="AG225" i="1"/>
  <c r="AG220" i="1"/>
  <c r="AG226" i="1"/>
  <c r="AG221" i="1"/>
  <c r="AG222" i="1"/>
  <c r="AG219" i="1"/>
  <c r="AG224" i="1"/>
  <c r="AG218" i="1"/>
  <c r="AG223" i="1"/>
  <c r="AK227" i="1"/>
  <c r="AK225" i="1"/>
  <c r="AK226" i="1"/>
  <c r="AK222" i="1"/>
  <c r="AK220" i="1"/>
  <c r="AK224" i="1"/>
  <c r="AK223" i="1"/>
  <c r="AK221" i="1"/>
  <c r="AK219" i="1"/>
  <c r="AK218" i="1"/>
  <c r="AO227" i="1"/>
  <c r="AO225" i="1"/>
  <c r="AO224" i="1"/>
  <c r="AO223" i="1"/>
  <c r="AO222" i="1"/>
  <c r="AO220" i="1"/>
  <c r="AO221" i="1"/>
  <c r="AO226" i="1"/>
  <c r="AO218" i="1"/>
  <c r="AO219" i="1"/>
  <c r="K226" i="1"/>
  <c r="K227" i="1"/>
  <c r="K221" i="1"/>
  <c r="K223" i="1"/>
  <c r="K220" i="1"/>
  <c r="K218" i="1"/>
  <c r="K222" i="1"/>
  <c r="K225" i="1"/>
  <c r="K224" i="1"/>
  <c r="K219" i="1"/>
  <c r="S226" i="1"/>
  <c r="S225" i="1"/>
  <c r="S224" i="1"/>
  <c r="S227" i="1"/>
  <c r="S223" i="1"/>
  <c r="S222" i="1"/>
  <c r="S221" i="1"/>
  <c r="S218" i="1"/>
  <c r="S220" i="1"/>
  <c r="S219" i="1"/>
  <c r="AE226" i="1"/>
  <c r="AE223" i="1"/>
  <c r="AE222" i="1"/>
  <c r="AE221" i="1"/>
  <c r="AE219" i="1"/>
  <c r="AE218" i="1"/>
  <c r="AE220" i="1"/>
  <c r="AE227" i="1"/>
  <c r="AE225" i="1"/>
  <c r="AE224" i="1"/>
  <c r="J90" i="6"/>
  <c r="J88" i="6"/>
  <c r="J86" i="6"/>
  <c r="J85" i="6"/>
  <c r="J89" i="6"/>
  <c r="J84" i="6"/>
  <c r="J83" i="6"/>
  <c r="J81" i="6"/>
  <c r="J87" i="6"/>
  <c r="J82" i="6"/>
  <c r="N227" i="1"/>
  <c r="N225" i="1"/>
  <c r="N223" i="1"/>
  <c r="N224" i="1"/>
  <c r="N222" i="1"/>
  <c r="N226" i="1"/>
  <c r="N221" i="1"/>
  <c r="N218" i="1"/>
  <c r="N220" i="1"/>
  <c r="N219" i="1"/>
  <c r="R227" i="1"/>
  <c r="R225" i="1"/>
  <c r="R223" i="1"/>
  <c r="R226" i="1"/>
  <c r="R224" i="1"/>
  <c r="R218" i="1"/>
  <c r="R222" i="1"/>
  <c r="R221" i="1"/>
  <c r="R220" i="1"/>
  <c r="R219" i="1"/>
  <c r="V227" i="1"/>
  <c r="V225" i="1"/>
  <c r="V223" i="1"/>
  <c r="V220" i="1"/>
  <c r="V222" i="1"/>
  <c r="V218" i="1"/>
  <c r="V224" i="1"/>
  <c r="V226" i="1"/>
  <c r="V219" i="1"/>
  <c r="V221" i="1"/>
  <c r="Z227" i="1"/>
  <c r="Z225" i="1"/>
  <c r="Z223" i="1"/>
  <c r="Z222" i="1"/>
  <c r="Z226" i="1"/>
  <c r="Z221" i="1"/>
  <c r="Z224" i="1"/>
  <c r="Z220" i="1"/>
  <c r="Z218" i="1"/>
  <c r="Z219" i="1"/>
  <c r="AD227" i="1"/>
  <c r="AD225" i="1"/>
  <c r="AD223" i="1"/>
  <c r="AD224" i="1"/>
  <c r="AD222" i="1"/>
  <c r="AD226" i="1"/>
  <c r="AD221" i="1"/>
  <c r="AD218" i="1"/>
  <c r="AD220" i="1"/>
  <c r="AD219" i="1"/>
  <c r="AH227" i="1"/>
  <c r="AH225" i="1"/>
  <c r="AH223" i="1"/>
  <c r="AH226" i="1"/>
  <c r="AH224" i="1"/>
  <c r="AH222" i="1"/>
  <c r="AH219" i="1"/>
  <c r="AH218" i="1"/>
  <c r="AH220" i="1"/>
  <c r="AH221" i="1"/>
  <c r="AL227" i="1"/>
  <c r="AL225" i="1"/>
  <c r="AL223" i="1"/>
  <c r="AL224" i="1"/>
  <c r="AL220" i="1"/>
  <c r="AL221" i="1"/>
  <c r="AL219" i="1"/>
  <c r="AL218" i="1"/>
  <c r="AL226" i="1"/>
  <c r="AL222" i="1"/>
  <c r="AP227" i="1"/>
  <c r="AP225" i="1"/>
  <c r="AP223" i="1"/>
  <c r="AP222" i="1"/>
  <c r="AP226" i="1"/>
  <c r="AP220" i="1"/>
  <c r="AP218" i="1"/>
  <c r="AP219" i="1"/>
  <c r="AP224" i="1"/>
  <c r="AP221" i="1"/>
  <c r="M196" i="1"/>
  <c r="M192" i="1"/>
  <c r="M201" i="1"/>
  <c r="M200" i="1"/>
  <c r="M199" i="1"/>
  <c r="M198" i="1"/>
  <c r="M194" i="1"/>
  <c r="M193" i="1"/>
  <c r="M195" i="1"/>
  <c r="M197" i="1"/>
  <c r="Y201" i="1"/>
  <c r="Y200" i="1"/>
  <c r="Y196" i="1"/>
  <c r="Y192" i="1"/>
  <c r="Y199" i="1"/>
  <c r="Y198" i="1"/>
  <c r="Y195" i="1"/>
  <c r="Y194" i="1"/>
  <c r="Y193" i="1"/>
  <c r="Y197" i="1"/>
  <c r="AG196" i="1"/>
  <c r="AG192" i="1"/>
  <c r="AG199" i="1"/>
  <c r="AG201" i="1"/>
  <c r="AG200" i="1"/>
  <c r="AG198" i="1"/>
  <c r="AG197" i="1"/>
  <c r="AG195" i="1"/>
  <c r="AG194" i="1"/>
  <c r="AG193" i="1"/>
  <c r="J64" i="6"/>
  <c r="J62" i="6"/>
  <c r="J58" i="6"/>
  <c r="J61" i="6"/>
  <c r="J60" i="6"/>
  <c r="J59" i="6"/>
  <c r="J57" i="6"/>
  <c r="J63" i="6"/>
  <c r="J56" i="6"/>
  <c r="J55" i="6"/>
  <c r="N201" i="1"/>
  <c r="N200" i="1"/>
  <c r="N199" i="1"/>
  <c r="N195" i="1"/>
  <c r="N198" i="1"/>
  <c r="N197" i="1"/>
  <c r="N194" i="1"/>
  <c r="N193" i="1"/>
  <c r="N192" i="1"/>
  <c r="N196" i="1"/>
  <c r="R201" i="1"/>
  <c r="R199" i="1"/>
  <c r="R195" i="1"/>
  <c r="R200" i="1"/>
  <c r="R198" i="1"/>
  <c r="R197" i="1"/>
  <c r="R194" i="1"/>
  <c r="R193" i="1"/>
  <c r="R192" i="1"/>
  <c r="R196" i="1"/>
  <c r="V201" i="1"/>
  <c r="V199" i="1"/>
  <c r="V195" i="1"/>
  <c r="V198" i="1"/>
  <c r="V200" i="1"/>
  <c r="V197" i="1"/>
  <c r="V196" i="1"/>
  <c r="V194" i="1"/>
  <c r="V193" i="1"/>
  <c r="V192" i="1"/>
  <c r="Z201" i="1"/>
  <c r="Z199" i="1"/>
  <c r="Z195" i="1"/>
  <c r="Z198" i="1"/>
  <c r="Z197" i="1"/>
  <c r="Z200" i="1"/>
  <c r="Z192" i="1"/>
  <c r="Z193" i="1"/>
  <c r="Z196" i="1"/>
  <c r="Z194" i="1"/>
  <c r="AD201" i="1"/>
  <c r="AD200" i="1"/>
  <c r="AD199" i="1"/>
  <c r="AD195" i="1"/>
  <c r="AD198" i="1"/>
  <c r="AD197" i="1"/>
  <c r="AD196" i="1"/>
  <c r="AD194" i="1"/>
  <c r="AD193" i="1"/>
  <c r="AD192" i="1"/>
  <c r="AH201" i="1"/>
  <c r="AH199" i="1"/>
  <c r="AH195" i="1"/>
  <c r="AH200" i="1"/>
  <c r="AH198" i="1"/>
  <c r="AH197" i="1"/>
  <c r="AH193" i="1"/>
  <c r="AH192" i="1"/>
  <c r="AH194" i="1"/>
  <c r="AH196" i="1"/>
  <c r="AL201" i="1"/>
  <c r="AL199" i="1"/>
  <c r="AL195" i="1"/>
  <c r="AL198" i="1"/>
  <c r="AL200" i="1"/>
  <c r="AL197" i="1"/>
  <c r="AL196" i="1"/>
  <c r="AL194" i="1"/>
  <c r="AL193" i="1"/>
  <c r="AL192" i="1"/>
  <c r="AP201" i="1"/>
  <c r="AP199" i="1"/>
  <c r="AP195" i="1"/>
  <c r="AP198" i="1"/>
  <c r="AP197" i="1"/>
  <c r="AP194" i="1"/>
  <c r="AP193" i="1"/>
  <c r="AP200" i="1"/>
  <c r="AP192" i="1"/>
  <c r="AP196" i="1"/>
  <c r="U196" i="1"/>
  <c r="U192" i="1"/>
  <c r="U199" i="1"/>
  <c r="U198" i="1"/>
  <c r="U201" i="1"/>
  <c r="U197" i="1"/>
  <c r="U195" i="1"/>
  <c r="U194" i="1"/>
  <c r="U200" i="1"/>
  <c r="U193" i="1"/>
  <c r="AO201" i="1"/>
  <c r="AO200" i="1"/>
  <c r="AO196" i="1"/>
  <c r="AO192" i="1"/>
  <c r="AO199" i="1"/>
  <c r="AO198" i="1"/>
  <c r="AO195" i="1"/>
  <c r="AO194" i="1"/>
  <c r="AO193" i="1"/>
  <c r="AO197" i="1"/>
  <c r="K200" i="1"/>
  <c r="K198" i="1"/>
  <c r="K194" i="1"/>
  <c r="K199" i="1"/>
  <c r="K196" i="1"/>
  <c r="K195" i="1"/>
  <c r="K201" i="1"/>
  <c r="K193" i="1"/>
  <c r="K192" i="1"/>
  <c r="K197" i="1"/>
  <c r="S200" i="1"/>
  <c r="S198" i="1"/>
  <c r="S194" i="1"/>
  <c r="S201" i="1"/>
  <c r="S197" i="1"/>
  <c r="S196" i="1"/>
  <c r="S193" i="1"/>
  <c r="S192" i="1"/>
  <c r="S195" i="1"/>
  <c r="S199" i="1"/>
  <c r="W200" i="1"/>
  <c r="W198" i="1"/>
  <c r="W194" i="1"/>
  <c r="W197" i="1"/>
  <c r="W201" i="1"/>
  <c r="W196" i="1"/>
  <c r="W199" i="1"/>
  <c r="W193" i="1"/>
  <c r="W192" i="1"/>
  <c r="W195" i="1"/>
  <c r="AA200" i="1"/>
  <c r="AA198" i="1"/>
  <c r="AA194" i="1"/>
  <c r="AA197" i="1"/>
  <c r="AA196" i="1"/>
  <c r="AA201" i="1"/>
  <c r="AA193" i="1"/>
  <c r="AA192" i="1"/>
  <c r="AA199" i="1"/>
  <c r="AA195" i="1"/>
  <c r="AE200" i="1"/>
  <c r="AE201" i="1"/>
  <c r="AE198" i="1"/>
  <c r="AE194" i="1"/>
  <c r="AE197" i="1"/>
  <c r="AE196" i="1"/>
  <c r="AE195" i="1"/>
  <c r="AE193" i="1"/>
  <c r="AE199" i="1"/>
  <c r="AE192" i="1"/>
  <c r="AI200" i="1"/>
  <c r="AI198" i="1"/>
  <c r="AI194" i="1"/>
  <c r="AI201" i="1"/>
  <c r="AI197" i="1"/>
  <c r="AI196" i="1"/>
  <c r="AI193" i="1"/>
  <c r="AI192" i="1"/>
  <c r="AI199" i="1"/>
  <c r="AI195" i="1"/>
  <c r="AM200" i="1"/>
  <c r="AM198" i="1"/>
  <c r="AM194" i="1"/>
  <c r="AM197" i="1"/>
  <c r="AM201" i="1"/>
  <c r="AM196" i="1"/>
  <c r="AM199" i="1"/>
  <c r="AM193" i="1"/>
  <c r="AM192" i="1"/>
  <c r="AM195" i="1"/>
  <c r="Q196" i="1"/>
  <c r="Q192" i="1"/>
  <c r="Q199" i="1"/>
  <c r="Q201" i="1"/>
  <c r="Q200" i="1"/>
  <c r="Q198" i="1"/>
  <c r="Q197" i="1"/>
  <c r="Q195" i="1"/>
  <c r="Q194" i="1"/>
  <c r="Q193" i="1"/>
  <c r="AC196" i="1"/>
  <c r="AC192" i="1"/>
  <c r="AC201" i="1"/>
  <c r="AC200" i="1"/>
  <c r="AC199" i="1"/>
  <c r="AC198" i="1"/>
  <c r="AC194" i="1"/>
  <c r="AC197" i="1"/>
  <c r="AC195" i="1"/>
  <c r="AC193" i="1"/>
  <c r="AK196" i="1"/>
  <c r="AK192" i="1"/>
  <c r="AK199" i="1"/>
  <c r="AK198" i="1"/>
  <c r="AK201" i="1"/>
  <c r="AK200" i="1"/>
  <c r="AK197" i="1"/>
  <c r="AK195" i="1"/>
  <c r="AK194" i="1"/>
  <c r="AK193" i="1"/>
  <c r="O200" i="1"/>
  <c r="O201" i="1"/>
  <c r="O198" i="1"/>
  <c r="O194" i="1"/>
  <c r="O196" i="1"/>
  <c r="O195" i="1"/>
  <c r="O193" i="1"/>
  <c r="O192" i="1"/>
  <c r="O197" i="1"/>
  <c r="O199" i="1"/>
  <c r="L197" i="1"/>
  <c r="L193" i="1"/>
  <c r="L201" i="1"/>
  <c r="L200" i="1"/>
  <c r="L199" i="1"/>
  <c r="L198" i="1"/>
  <c r="L192" i="1"/>
  <c r="L196" i="1"/>
  <c r="L195" i="1"/>
  <c r="L194" i="1"/>
  <c r="P197" i="1"/>
  <c r="P193" i="1"/>
  <c r="P199" i="1"/>
  <c r="P201" i="1"/>
  <c r="P195" i="1"/>
  <c r="P194" i="1"/>
  <c r="P200" i="1"/>
  <c r="P192" i="1"/>
  <c r="P198" i="1"/>
  <c r="P196" i="1"/>
  <c r="T201" i="1"/>
  <c r="T200" i="1"/>
  <c r="T197" i="1"/>
  <c r="T193" i="1"/>
  <c r="T199" i="1"/>
  <c r="T195" i="1"/>
  <c r="T194" i="1"/>
  <c r="T196" i="1"/>
  <c r="T198" i="1"/>
  <c r="T192" i="1"/>
  <c r="X197" i="1"/>
  <c r="X193" i="1"/>
  <c r="X201" i="1"/>
  <c r="X200" i="1"/>
  <c r="X199" i="1"/>
  <c r="X192" i="1"/>
  <c r="X194" i="1"/>
  <c r="X196" i="1"/>
  <c r="X198" i="1"/>
  <c r="X195" i="1"/>
  <c r="AB197" i="1"/>
  <c r="AB193" i="1"/>
  <c r="AB201" i="1"/>
  <c r="AB200" i="1"/>
  <c r="AB199" i="1"/>
  <c r="AB198" i="1"/>
  <c r="AB196" i="1"/>
  <c r="AB192" i="1"/>
  <c r="AB195" i="1"/>
  <c r="AB194" i="1"/>
  <c r="AF197" i="1"/>
  <c r="AF193" i="1"/>
  <c r="AF199" i="1"/>
  <c r="AF200" i="1"/>
  <c r="AF198" i="1"/>
  <c r="AF195" i="1"/>
  <c r="AF194" i="1"/>
  <c r="AF201" i="1"/>
  <c r="AF192" i="1"/>
  <c r="AF196" i="1"/>
  <c r="AJ201" i="1"/>
  <c r="AJ200" i="1"/>
  <c r="AJ197" i="1"/>
  <c r="AJ193" i="1"/>
  <c r="AJ199" i="1"/>
  <c r="AJ195" i="1"/>
  <c r="AJ194" i="1"/>
  <c r="AJ192" i="1"/>
  <c r="AJ196" i="1"/>
  <c r="AJ198" i="1"/>
  <c r="AN197" i="1"/>
  <c r="AN193" i="1"/>
  <c r="AN201" i="1"/>
  <c r="AN200" i="1"/>
  <c r="AN199" i="1"/>
  <c r="AN192" i="1"/>
  <c r="AN194" i="1"/>
  <c r="AN198" i="1"/>
  <c r="AN195" i="1"/>
  <c r="AN196" i="1"/>
  <c r="P137" i="1"/>
  <c r="P134" i="1"/>
  <c r="P129" i="1"/>
  <c r="P136" i="1"/>
  <c r="P128" i="1"/>
  <c r="P135" i="1"/>
  <c r="P131" i="1"/>
  <c r="AB134" i="1"/>
  <c r="AB129" i="1"/>
  <c r="AB137" i="1"/>
  <c r="AB131" i="1"/>
  <c r="AB135" i="1"/>
  <c r="AB128" i="1"/>
  <c r="AB136" i="1"/>
  <c r="AN135" i="1"/>
  <c r="AN131" i="1"/>
  <c r="AN134" i="1"/>
  <c r="AN136" i="1"/>
  <c r="AN129" i="1"/>
  <c r="AN128" i="1"/>
  <c r="AN137" i="1"/>
  <c r="Q137" i="1"/>
  <c r="Q136" i="1"/>
  <c r="Q135" i="1"/>
  <c r="Q134" i="1"/>
  <c r="Q128" i="1"/>
  <c r="Q131" i="1"/>
  <c r="Q129" i="1"/>
  <c r="Y137" i="1"/>
  <c r="Y136" i="1"/>
  <c r="Y135" i="1"/>
  <c r="Y134" i="1"/>
  <c r="Y128" i="1"/>
  <c r="Y129" i="1"/>
  <c r="Y131" i="1"/>
  <c r="AC137" i="1"/>
  <c r="AC136" i="1"/>
  <c r="AC135" i="1"/>
  <c r="AC134" i="1"/>
  <c r="AC131" i="1"/>
  <c r="AC128" i="1"/>
  <c r="AC129" i="1"/>
  <c r="AG137" i="1"/>
  <c r="AG136" i="1"/>
  <c r="AG135" i="1"/>
  <c r="AG134" i="1"/>
  <c r="AG131" i="1"/>
  <c r="AG128" i="1"/>
  <c r="AG129" i="1"/>
  <c r="AK137" i="1"/>
  <c r="AK136" i="1"/>
  <c r="AK135" i="1"/>
  <c r="AK134" i="1"/>
  <c r="AK128" i="1"/>
  <c r="AK131" i="1"/>
  <c r="AK129" i="1"/>
  <c r="AO137" i="1"/>
  <c r="AO136" i="1"/>
  <c r="AO135" i="1"/>
  <c r="AO134" i="1"/>
  <c r="AO131" i="1"/>
  <c r="AO129" i="1"/>
  <c r="AO128" i="1"/>
  <c r="X135" i="1"/>
  <c r="X131" i="1"/>
  <c r="X136" i="1"/>
  <c r="X128" i="1"/>
  <c r="X134" i="1"/>
  <c r="X129" i="1"/>
  <c r="X137" i="1"/>
  <c r="AJ136" i="1"/>
  <c r="AJ131" i="1"/>
  <c r="AJ129" i="1"/>
  <c r="AJ135" i="1"/>
  <c r="AJ137" i="1"/>
  <c r="AJ134" i="1"/>
  <c r="AJ128" i="1"/>
  <c r="U137" i="1"/>
  <c r="U136" i="1"/>
  <c r="U135" i="1"/>
  <c r="U134" i="1"/>
  <c r="U131" i="1"/>
  <c r="U129" i="1"/>
  <c r="U128" i="1"/>
  <c r="N100" i="1"/>
  <c r="N137" i="1"/>
  <c r="N136" i="1"/>
  <c r="N135" i="1"/>
  <c r="N134" i="1"/>
  <c r="N131" i="1"/>
  <c r="N129" i="1"/>
  <c r="N128" i="1"/>
  <c r="R137" i="1"/>
  <c r="R136" i="1"/>
  <c r="R135" i="1"/>
  <c r="R134" i="1"/>
  <c r="R131" i="1"/>
  <c r="R128" i="1"/>
  <c r="R129" i="1"/>
  <c r="V102" i="1"/>
  <c r="V137" i="1"/>
  <c r="V136" i="1"/>
  <c r="V135" i="1"/>
  <c r="V134" i="1"/>
  <c r="V131" i="1"/>
  <c r="V129" i="1"/>
  <c r="V128" i="1"/>
  <c r="Z101" i="1"/>
  <c r="Z137" i="1"/>
  <c r="Z136" i="1"/>
  <c r="Z135" i="1"/>
  <c r="Z134" i="1"/>
  <c r="Z131" i="1"/>
  <c r="Z128" i="1"/>
  <c r="Z129" i="1"/>
  <c r="AD137" i="1"/>
  <c r="AD136" i="1"/>
  <c r="AD135" i="1"/>
  <c r="AD134" i="1"/>
  <c r="AD131" i="1"/>
  <c r="AD129" i="1"/>
  <c r="AD128" i="1"/>
  <c r="AH104" i="1"/>
  <c r="AH137" i="1"/>
  <c r="AH136" i="1"/>
  <c r="AH135" i="1"/>
  <c r="AH134" i="1"/>
  <c r="AH131" i="1"/>
  <c r="AH129" i="1"/>
  <c r="AH128" i="1"/>
  <c r="AL102" i="1"/>
  <c r="AL137" i="1"/>
  <c r="AL136" i="1"/>
  <c r="AL135" i="1"/>
  <c r="AL134" i="1"/>
  <c r="AL131" i="1"/>
  <c r="AL128" i="1"/>
  <c r="AL129" i="1"/>
  <c r="AP137" i="1"/>
  <c r="AP136" i="1"/>
  <c r="AP135" i="1"/>
  <c r="AP134" i="1"/>
  <c r="AP131" i="1"/>
  <c r="AP129" i="1"/>
  <c r="AP128" i="1"/>
  <c r="L134" i="1"/>
  <c r="L128" i="1"/>
  <c r="L137" i="1"/>
  <c r="L131" i="1"/>
  <c r="L129" i="1"/>
  <c r="L136" i="1"/>
  <c r="L135" i="1"/>
  <c r="T136" i="1"/>
  <c r="T137" i="1"/>
  <c r="T131" i="1"/>
  <c r="T135" i="1"/>
  <c r="T134" i="1"/>
  <c r="T129" i="1"/>
  <c r="T128" i="1"/>
  <c r="AF137" i="1"/>
  <c r="AF128" i="1"/>
  <c r="AF136" i="1"/>
  <c r="AF134" i="1"/>
  <c r="AF135" i="1"/>
  <c r="AF131" i="1"/>
  <c r="AF129" i="1"/>
  <c r="M137" i="1"/>
  <c r="M136" i="1"/>
  <c r="M135" i="1"/>
  <c r="M134" i="1"/>
  <c r="M131" i="1"/>
  <c r="M128" i="1"/>
  <c r="M129" i="1"/>
  <c r="J92" i="4"/>
  <c r="K137" i="1"/>
  <c r="K136" i="1"/>
  <c r="K135" i="1"/>
  <c r="K134" i="1"/>
  <c r="K129" i="1"/>
  <c r="K128" i="1"/>
  <c r="K131" i="1"/>
  <c r="O137" i="1"/>
  <c r="O136" i="1"/>
  <c r="O135" i="1"/>
  <c r="O134" i="1"/>
  <c r="O129" i="1"/>
  <c r="O128" i="1"/>
  <c r="O131" i="1"/>
  <c r="S137" i="1"/>
  <c r="S136" i="1"/>
  <c r="S135" i="1"/>
  <c r="S134" i="1"/>
  <c r="S131" i="1"/>
  <c r="S129" i="1"/>
  <c r="S128" i="1"/>
  <c r="W137" i="1"/>
  <c r="W136" i="1"/>
  <c r="W135" i="1"/>
  <c r="W134" i="1"/>
  <c r="W129" i="1"/>
  <c r="W128" i="1"/>
  <c r="W131" i="1"/>
  <c r="AA137" i="1"/>
  <c r="AA136" i="1"/>
  <c r="AA135" i="1"/>
  <c r="AA134" i="1"/>
  <c r="AA129" i="1"/>
  <c r="AA128" i="1"/>
  <c r="AA131" i="1"/>
  <c r="AE137" i="1"/>
  <c r="AE136" i="1"/>
  <c r="AE135" i="1"/>
  <c r="AE134" i="1"/>
  <c r="AE129" i="1"/>
  <c r="AE128" i="1"/>
  <c r="AE131" i="1"/>
  <c r="AI137" i="1"/>
  <c r="AI136" i="1"/>
  <c r="AI135" i="1"/>
  <c r="AI134" i="1"/>
  <c r="AI131" i="1"/>
  <c r="AI129" i="1"/>
  <c r="AI128" i="1"/>
  <c r="AM137" i="1"/>
  <c r="AM136" i="1"/>
  <c r="AM135" i="1"/>
  <c r="AM134" i="1"/>
  <c r="AM129" i="1"/>
  <c r="AM128" i="1"/>
  <c r="AM131" i="1"/>
  <c r="Y96" i="1"/>
  <c r="W103" i="1"/>
  <c r="AI110" i="1"/>
  <c r="AI98" i="1"/>
  <c r="K102" i="1"/>
  <c r="K108" i="1"/>
  <c r="S98" i="1"/>
  <c r="AM99" i="1"/>
  <c r="L103" i="1"/>
  <c r="L96" i="1"/>
  <c r="P102" i="1"/>
  <c r="AB99" i="1"/>
  <c r="T101" i="1"/>
  <c r="Q96" i="1"/>
  <c r="U96" i="1"/>
  <c r="AC96" i="1"/>
  <c r="AK96" i="1"/>
  <c r="AO96" i="1"/>
  <c r="AG96" i="1"/>
  <c r="AF102" i="1"/>
  <c r="R110" i="1"/>
  <c r="R108" i="1"/>
  <c r="R111" i="1"/>
  <c r="R109" i="1"/>
  <c r="R107" i="1"/>
  <c r="R100" i="1"/>
  <c r="R98" i="1"/>
  <c r="R96" i="1"/>
  <c r="R106" i="1"/>
  <c r="R101" i="1"/>
  <c r="R105" i="1"/>
  <c r="R102" i="1"/>
  <c r="AD111" i="1"/>
  <c r="AD109" i="1"/>
  <c r="AD107" i="1"/>
  <c r="AD110" i="1"/>
  <c r="AD108" i="1"/>
  <c r="AD104" i="1"/>
  <c r="AD101" i="1"/>
  <c r="AD98" i="1"/>
  <c r="AD96" i="1"/>
  <c r="AD102" i="1"/>
  <c r="AD106" i="1"/>
  <c r="AD103" i="1"/>
  <c r="AD99" i="1"/>
  <c r="AP110" i="1"/>
  <c r="AP108" i="1"/>
  <c r="AP111" i="1"/>
  <c r="AP109" i="1"/>
  <c r="AP107" i="1"/>
  <c r="AP105" i="1"/>
  <c r="AP102" i="1"/>
  <c r="AP98" i="1"/>
  <c r="AP96" i="1"/>
  <c r="AP104" i="1"/>
  <c r="AP99" i="1"/>
  <c r="AP100" i="1"/>
  <c r="J85" i="4"/>
  <c r="K111" i="1"/>
  <c r="K109" i="1"/>
  <c r="K106" i="1"/>
  <c r="K105" i="1"/>
  <c r="K104" i="1"/>
  <c r="K103" i="1"/>
  <c r="K99" i="1"/>
  <c r="K100" i="1"/>
  <c r="K110" i="1"/>
  <c r="K101" i="1"/>
  <c r="O107" i="1"/>
  <c r="O110" i="1"/>
  <c r="O108" i="1"/>
  <c r="O106" i="1"/>
  <c r="O105" i="1"/>
  <c r="O104" i="1"/>
  <c r="O109" i="1"/>
  <c r="O102" i="1"/>
  <c r="O103" i="1"/>
  <c r="O99" i="1"/>
  <c r="O100" i="1"/>
  <c r="S111" i="1"/>
  <c r="S109" i="1"/>
  <c r="S107" i="1"/>
  <c r="S106" i="1"/>
  <c r="S105" i="1"/>
  <c r="S104" i="1"/>
  <c r="S101" i="1"/>
  <c r="S110" i="1"/>
  <c r="S102" i="1"/>
  <c r="S108" i="1"/>
  <c r="S103" i="1"/>
  <c r="S99" i="1"/>
  <c r="W110" i="1"/>
  <c r="W108" i="1"/>
  <c r="W107" i="1"/>
  <c r="W106" i="1"/>
  <c r="W105" i="1"/>
  <c r="W104" i="1"/>
  <c r="W100" i="1"/>
  <c r="W101" i="1"/>
  <c r="W111" i="1"/>
  <c r="W102" i="1"/>
  <c r="AA111" i="1"/>
  <c r="AA109" i="1"/>
  <c r="AA106" i="1"/>
  <c r="AA105" i="1"/>
  <c r="AA104" i="1"/>
  <c r="AA110" i="1"/>
  <c r="AA107" i="1"/>
  <c r="AA103" i="1"/>
  <c r="AA99" i="1"/>
  <c r="AA108" i="1"/>
  <c r="AA100" i="1"/>
  <c r="AA101" i="1"/>
  <c r="AE107" i="1"/>
  <c r="AE110" i="1"/>
  <c r="AE108" i="1"/>
  <c r="AE106" i="1"/>
  <c r="AE105" i="1"/>
  <c r="AE104" i="1"/>
  <c r="AE102" i="1"/>
  <c r="AE111" i="1"/>
  <c r="AE103" i="1"/>
  <c r="AE99" i="1"/>
  <c r="AE109" i="1"/>
  <c r="AE100" i="1"/>
  <c r="AI111" i="1"/>
  <c r="AI109" i="1"/>
  <c r="AI107" i="1"/>
  <c r="AI106" i="1"/>
  <c r="AI105" i="1"/>
  <c r="AI104" i="1"/>
  <c r="AI103" i="1"/>
  <c r="AI108" i="1"/>
  <c r="AI101" i="1"/>
  <c r="AI102" i="1"/>
  <c r="AI99" i="1"/>
  <c r="AM110" i="1"/>
  <c r="AM108" i="1"/>
  <c r="AM106" i="1"/>
  <c r="AM105" i="1"/>
  <c r="AM104" i="1"/>
  <c r="AM103" i="1"/>
  <c r="AM111" i="1"/>
  <c r="AM100" i="1"/>
  <c r="AM109" i="1"/>
  <c r="AM101" i="1"/>
  <c r="AM107" i="1"/>
  <c r="AM102" i="1"/>
  <c r="AQ23" i="12"/>
  <c r="J77" i="4"/>
  <c r="J81" i="4"/>
  <c r="J87" i="4"/>
  <c r="M96" i="1"/>
  <c r="S96" i="1"/>
  <c r="AA96" i="1"/>
  <c r="AI96" i="1"/>
  <c r="W98" i="1"/>
  <c r="AM98" i="1"/>
  <c r="W99" i="1"/>
  <c r="AI100" i="1"/>
  <c r="AB103" i="1"/>
  <c r="R104" i="1"/>
  <c r="AD105" i="1"/>
  <c r="AP106" i="1"/>
  <c r="O111" i="1"/>
  <c r="J94" i="4"/>
  <c r="J90" i="4"/>
  <c r="J86" i="4"/>
  <c r="J82" i="4"/>
  <c r="Z110" i="1"/>
  <c r="Z108" i="1"/>
  <c r="Z107" i="1"/>
  <c r="Z111" i="1"/>
  <c r="Z109" i="1"/>
  <c r="Z105" i="1"/>
  <c r="Z102" i="1"/>
  <c r="Z98" i="1"/>
  <c r="Z96" i="1"/>
  <c r="Z104" i="1"/>
  <c r="Z103" i="1"/>
  <c r="Z99" i="1"/>
  <c r="Z100" i="1"/>
  <c r="AL111" i="1"/>
  <c r="AL109" i="1"/>
  <c r="AL107" i="1"/>
  <c r="AL110" i="1"/>
  <c r="AL108" i="1"/>
  <c r="AL106" i="1"/>
  <c r="AL99" i="1"/>
  <c r="AL98" i="1"/>
  <c r="AL96" i="1"/>
  <c r="AL105" i="1"/>
  <c r="AL103" i="1"/>
  <c r="AL100" i="1"/>
  <c r="AL104" i="1"/>
  <c r="AL101" i="1"/>
  <c r="J80" i="4"/>
  <c r="AP101" i="1"/>
  <c r="Z106" i="1"/>
  <c r="P111" i="1"/>
  <c r="P110" i="1"/>
  <c r="P109" i="1"/>
  <c r="P108" i="1"/>
  <c r="P106" i="1"/>
  <c r="P105" i="1"/>
  <c r="P104" i="1"/>
  <c r="P103" i="1"/>
  <c r="P99" i="1"/>
  <c r="P100" i="1"/>
  <c r="P107" i="1"/>
  <c r="P101" i="1"/>
  <c r="P98" i="1"/>
  <c r="AN111" i="1"/>
  <c r="AN110" i="1"/>
  <c r="AN109" i="1"/>
  <c r="AN108" i="1"/>
  <c r="AN107" i="1"/>
  <c r="AN106" i="1"/>
  <c r="AN105" i="1"/>
  <c r="AN104" i="1"/>
  <c r="AN103" i="1"/>
  <c r="AN101" i="1"/>
  <c r="AN102" i="1"/>
  <c r="AN99" i="1"/>
  <c r="AN98" i="1"/>
  <c r="AN96" i="1"/>
  <c r="J78" i="4"/>
  <c r="J83" i="4"/>
  <c r="J88" i="4"/>
  <c r="J93" i="4"/>
  <c r="O96" i="1"/>
  <c r="K98" i="1"/>
  <c r="AA98" i="1"/>
  <c r="S100" i="1"/>
  <c r="AN100" i="1"/>
  <c r="AE101" i="1"/>
  <c r="AH103" i="1"/>
  <c r="K107" i="1"/>
  <c r="W109" i="1"/>
  <c r="N111" i="1"/>
  <c r="N109" i="1"/>
  <c r="N107" i="1"/>
  <c r="N110" i="1"/>
  <c r="N108" i="1"/>
  <c r="N104" i="1"/>
  <c r="N101" i="1"/>
  <c r="N98" i="1"/>
  <c r="N96" i="1"/>
  <c r="N102" i="1"/>
  <c r="N106" i="1"/>
  <c r="N103" i="1"/>
  <c r="N99" i="1"/>
  <c r="V111" i="1"/>
  <c r="V109" i="1"/>
  <c r="V110" i="1"/>
  <c r="V108" i="1"/>
  <c r="V106" i="1"/>
  <c r="V103" i="1"/>
  <c r="V99" i="1"/>
  <c r="V98" i="1"/>
  <c r="V96" i="1"/>
  <c r="V107" i="1"/>
  <c r="V105" i="1"/>
  <c r="V100" i="1"/>
  <c r="V104" i="1"/>
  <c r="V101" i="1"/>
  <c r="AH110" i="1"/>
  <c r="AH108" i="1"/>
  <c r="AH111" i="1"/>
  <c r="AH109" i="1"/>
  <c r="AH107" i="1"/>
  <c r="AH100" i="1"/>
  <c r="AH98" i="1"/>
  <c r="AH96" i="1"/>
  <c r="AH106" i="1"/>
  <c r="AH101" i="1"/>
  <c r="AH105" i="1"/>
  <c r="AH102" i="1"/>
  <c r="J76" i="4"/>
  <c r="J91" i="4"/>
  <c r="R99" i="1"/>
  <c r="AD100" i="1"/>
  <c r="N105" i="1"/>
  <c r="L111" i="1"/>
  <c r="L110" i="1"/>
  <c r="L109" i="1"/>
  <c r="L108" i="1"/>
  <c r="L106" i="1"/>
  <c r="L105" i="1"/>
  <c r="L104" i="1"/>
  <c r="L107" i="1"/>
  <c r="L100" i="1"/>
  <c r="L101" i="1"/>
  <c r="L102" i="1"/>
  <c r="L98" i="1"/>
  <c r="T111" i="1"/>
  <c r="T110" i="1"/>
  <c r="T109" i="1"/>
  <c r="T108" i="1"/>
  <c r="T107" i="1"/>
  <c r="T106" i="1"/>
  <c r="T105" i="1"/>
  <c r="T104" i="1"/>
  <c r="T102" i="1"/>
  <c r="T103" i="1"/>
  <c r="T99" i="1"/>
  <c r="T100" i="1"/>
  <c r="T98" i="1"/>
  <c r="T96" i="1"/>
  <c r="X111" i="1"/>
  <c r="X110" i="1"/>
  <c r="X109" i="1"/>
  <c r="X108" i="1"/>
  <c r="X107" i="1"/>
  <c r="X106" i="1"/>
  <c r="X105" i="1"/>
  <c r="X104" i="1"/>
  <c r="X101" i="1"/>
  <c r="X102" i="1"/>
  <c r="X103" i="1"/>
  <c r="X99" i="1"/>
  <c r="X98" i="1"/>
  <c r="X96" i="1"/>
  <c r="AB111" i="1"/>
  <c r="AB110" i="1"/>
  <c r="AB109" i="1"/>
  <c r="AB108" i="1"/>
  <c r="AB106" i="1"/>
  <c r="AB105" i="1"/>
  <c r="AB104" i="1"/>
  <c r="AB107" i="1"/>
  <c r="AB100" i="1"/>
  <c r="AB101" i="1"/>
  <c r="AB102" i="1"/>
  <c r="AB98" i="1"/>
  <c r="AB96" i="1"/>
  <c r="AF111" i="1"/>
  <c r="AF110" i="1"/>
  <c r="AF109" i="1"/>
  <c r="AF108" i="1"/>
  <c r="AF106" i="1"/>
  <c r="AF105" i="1"/>
  <c r="AF104" i="1"/>
  <c r="AF103" i="1"/>
  <c r="AF99" i="1"/>
  <c r="AF100" i="1"/>
  <c r="AF101" i="1"/>
  <c r="AF98" i="1"/>
  <c r="AF96" i="1"/>
  <c r="AJ111" i="1"/>
  <c r="AJ110" i="1"/>
  <c r="AJ109" i="1"/>
  <c r="AJ108" i="1"/>
  <c r="AJ107" i="1"/>
  <c r="AJ106" i="1"/>
  <c r="AJ105" i="1"/>
  <c r="AJ104" i="1"/>
  <c r="AJ102" i="1"/>
  <c r="AJ99" i="1"/>
  <c r="AJ103" i="1"/>
  <c r="AJ100" i="1"/>
  <c r="AJ98" i="1"/>
  <c r="AJ96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G111" i="1"/>
  <c r="AG110" i="1"/>
  <c r="AG109" i="1"/>
  <c r="AG108" i="1"/>
  <c r="AG107" i="1"/>
  <c r="AG106" i="1"/>
  <c r="AG105" i="1"/>
  <c r="AG104" i="1"/>
  <c r="AG103" i="1"/>
  <c r="AG102" i="1"/>
  <c r="AG101" i="1"/>
  <c r="AG100" i="1"/>
  <c r="AG99" i="1"/>
  <c r="AG98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O111" i="1"/>
  <c r="AO110" i="1"/>
  <c r="AO109" i="1"/>
  <c r="AO108" i="1"/>
  <c r="AO107" i="1"/>
  <c r="AO106" i="1"/>
  <c r="AO105" i="1"/>
  <c r="AO104" i="1"/>
  <c r="AO103" i="1"/>
  <c r="AO102" i="1"/>
  <c r="AO101" i="1"/>
  <c r="AO100" i="1"/>
  <c r="AO99" i="1"/>
  <c r="AO98" i="1"/>
  <c r="J75" i="4"/>
  <c r="J79" i="4"/>
  <c r="J84" i="4"/>
  <c r="J89" i="4"/>
  <c r="K92" i="1"/>
  <c r="K96" i="1"/>
  <c r="P96" i="1"/>
  <c r="W96" i="1"/>
  <c r="AE96" i="1"/>
  <c r="AM96" i="1"/>
  <c r="O98" i="1"/>
  <c r="AE98" i="1"/>
  <c r="L99" i="1"/>
  <c r="AH99" i="1"/>
  <c r="X100" i="1"/>
  <c r="O101" i="1"/>
  <c r="AJ101" i="1"/>
  <c r="AA102" i="1"/>
  <c r="R103" i="1"/>
  <c r="AP103" i="1"/>
  <c r="AF107" i="1"/>
  <c r="D49" i="3"/>
  <c r="D50" i="3"/>
  <c r="D51" i="3"/>
  <c r="D52" i="3"/>
  <c r="D53" i="3"/>
  <c r="K59" i="3" l="1"/>
  <c r="L59" i="3" s="1"/>
  <c r="M59" i="3" s="1"/>
  <c r="N59" i="3" s="1"/>
  <c r="K40" i="3"/>
  <c r="L40" i="3" s="1"/>
  <c r="M40" i="3" s="1"/>
  <c r="K58" i="3"/>
  <c r="L58" i="3" s="1"/>
  <c r="M58" i="3" s="1"/>
  <c r="K57" i="3"/>
  <c r="L57" i="3" s="1"/>
  <c r="M57" i="3" s="1"/>
  <c r="K43" i="3"/>
  <c r="L43" i="3" s="1"/>
  <c r="M43" i="3" s="1"/>
  <c r="N43" i="3" s="1"/>
  <c r="K60" i="3"/>
  <c r="L60" i="3" s="1"/>
  <c r="M60" i="3" s="1"/>
  <c r="AQ24" i="12"/>
  <c r="K42" i="3"/>
  <c r="L42" i="3" s="1"/>
  <c r="M42" i="3" s="1"/>
  <c r="N42" i="3" s="1"/>
  <c r="O42" i="3" s="1"/>
  <c r="K44" i="3"/>
  <c r="L44" i="3" s="1"/>
  <c r="M44" i="3" s="1"/>
  <c r="AQ63" i="1"/>
  <c r="AQ62" i="1"/>
  <c r="AQ60" i="1"/>
  <c r="AQ61" i="1"/>
  <c r="K57" i="6"/>
  <c r="K58" i="6"/>
  <c r="K83" i="6"/>
  <c r="K86" i="6"/>
  <c r="K61" i="6"/>
  <c r="K85" i="6"/>
  <c r="K55" i="6"/>
  <c r="K59" i="6"/>
  <c r="K62" i="6"/>
  <c r="K82" i="6"/>
  <c r="K84" i="6"/>
  <c r="K88" i="6"/>
  <c r="K63" i="6"/>
  <c r="K81" i="6"/>
  <c r="K56" i="6"/>
  <c r="K60" i="6"/>
  <c r="K64" i="6"/>
  <c r="K87" i="6"/>
  <c r="K89" i="6"/>
  <c r="K90" i="6"/>
  <c r="K89" i="4"/>
  <c r="K76" i="4"/>
  <c r="L76" i="4" s="1"/>
  <c r="K83" i="4"/>
  <c r="L83" i="4" s="1"/>
  <c r="K86" i="4"/>
  <c r="K85" i="4"/>
  <c r="L85" i="4" s="1"/>
  <c r="K91" i="4"/>
  <c r="L91" i="4" s="1"/>
  <c r="K84" i="4"/>
  <c r="L84" i="4" s="1"/>
  <c r="K78" i="4"/>
  <c r="L78" i="4" s="1"/>
  <c r="K93" i="4"/>
  <c r="L93" i="4" s="1"/>
  <c r="K77" i="4"/>
  <c r="K94" i="4"/>
  <c r="K79" i="4"/>
  <c r="K87" i="4"/>
  <c r="K80" i="4"/>
  <c r="K90" i="4"/>
  <c r="J114" i="4"/>
  <c r="J111" i="4"/>
  <c r="J113" i="4"/>
  <c r="J112" i="4"/>
  <c r="J118" i="4"/>
  <c r="J119" i="4"/>
  <c r="J117" i="4"/>
  <c r="J120" i="4"/>
  <c r="K75" i="4"/>
  <c r="K88" i="4"/>
  <c r="K82" i="4"/>
  <c r="K81" i="4"/>
  <c r="J115" i="4"/>
  <c r="J116" i="4"/>
  <c r="K92" i="4"/>
  <c r="AQ226" i="1"/>
  <c r="AQ225" i="1"/>
  <c r="AQ227" i="1"/>
  <c r="AQ221" i="1"/>
  <c r="AQ219" i="1"/>
  <c r="AQ223" i="1"/>
  <c r="AQ220" i="1"/>
  <c r="AQ218" i="1"/>
  <c r="AQ222" i="1"/>
  <c r="AQ224" i="1"/>
  <c r="AQ200" i="1"/>
  <c r="AQ198" i="1"/>
  <c r="AQ194" i="1"/>
  <c r="AQ197" i="1"/>
  <c r="AQ196" i="1"/>
  <c r="AQ199" i="1"/>
  <c r="AQ195" i="1"/>
  <c r="AQ193" i="1"/>
  <c r="AQ192" i="1"/>
  <c r="AQ201" i="1"/>
  <c r="AQ137" i="1"/>
  <c r="AQ136" i="1"/>
  <c r="AQ135" i="1"/>
  <c r="AQ134" i="1"/>
  <c r="AQ129" i="1"/>
  <c r="AQ128" i="1"/>
  <c r="AQ131" i="1"/>
  <c r="AQ111" i="1"/>
  <c r="AQ109" i="1"/>
  <c r="AQ107" i="1"/>
  <c r="AQ106" i="1"/>
  <c r="AQ105" i="1"/>
  <c r="AQ104" i="1"/>
  <c r="AQ103" i="1"/>
  <c r="AQ99" i="1"/>
  <c r="AQ100" i="1"/>
  <c r="AQ110" i="1"/>
  <c r="AQ101" i="1"/>
  <c r="AQ102" i="1"/>
  <c r="AQ98" i="1"/>
  <c r="AR23" i="12"/>
  <c r="AQ108" i="1"/>
  <c r="AQ96" i="1"/>
  <c r="D111" i="1"/>
  <c r="D94" i="4" s="1"/>
  <c r="D110" i="1"/>
  <c r="D93" i="4" s="1"/>
  <c r="D109" i="1"/>
  <c r="D92" i="4" s="1"/>
  <c r="D108" i="1"/>
  <c r="D91" i="4" s="1"/>
  <c r="D107" i="1"/>
  <c r="D90" i="4" s="1"/>
  <c r="D106" i="1"/>
  <c r="D89" i="4" s="1"/>
  <c r="D105" i="1"/>
  <c r="D88" i="4" s="1"/>
  <c r="D104" i="1"/>
  <c r="D87" i="4" s="1"/>
  <c r="D103" i="1"/>
  <c r="D86" i="4" s="1"/>
  <c r="D102" i="1"/>
  <c r="D85" i="4" s="1"/>
  <c r="D101" i="1"/>
  <c r="D84" i="4" s="1"/>
  <c r="AR24" i="12" l="1"/>
  <c r="AR62" i="1"/>
  <c r="AR61" i="1"/>
  <c r="AR63" i="1"/>
  <c r="AR60" i="1"/>
  <c r="L90" i="6"/>
  <c r="L87" i="6"/>
  <c r="L60" i="6"/>
  <c r="L81" i="6"/>
  <c r="L88" i="6"/>
  <c r="L82" i="6"/>
  <c r="L59" i="6"/>
  <c r="L85" i="6"/>
  <c r="L86" i="6"/>
  <c r="L58" i="6"/>
  <c r="L89" i="6"/>
  <c r="L64" i="6"/>
  <c r="L56" i="6"/>
  <c r="L63" i="6"/>
  <c r="L84" i="6"/>
  <c r="L62" i="6"/>
  <c r="L55" i="6"/>
  <c r="L61" i="6"/>
  <c r="L83" i="6"/>
  <c r="L57" i="6"/>
  <c r="K115" i="4"/>
  <c r="M91" i="4"/>
  <c r="K118" i="4"/>
  <c r="K113" i="4"/>
  <c r="L80" i="4"/>
  <c r="L79" i="4"/>
  <c r="L89" i="4"/>
  <c r="L81" i="4"/>
  <c r="L75" i="4"/>
  <c r="K112" i="4"/>
  <c r="K111" i="4"/>
  <c r="M78" i="4"/>
  <c r="L94" i="4"/>
  <c r="M83" i="4"/>
  <c r="L92" i="4"/>
  <c r="L82" i="4"/>
  <c r="M93" i="4"/>
  <c r="K117" i="4"/>
  <c r="K114" i="4"/>
  <c r="M84" i="4"/>
  <c r="M85" i="4"/>
  <c r="M76" i="4"/>
  <c r="L86" i="4"/>
  <c r="K116" i="4"/>
  <c r="L88" i="4"/>
  <c r="K120" i="4"/>
  <c r="K119" i="4"/>
  <c r="L90" i="4"/>
  <c r="L87" i="4"/>
  <c r="L77" i="4"/>
  <c r="O43" i="3"/>
  <c r="P42" i="3"/>
  <c r="O59" i="3"/>
  <c r="N44" i="3"/>
  <c r="AR226" i="1"/>
  <c r="AR224" i="1"/>
  <c r="AR222" i="1"/>
  <c r="AR227" i="1"/>
  <c r="AR221" i="1"/>
  <c r="AR219" i="1"/>
  <c r="AR225" i="1"/>
  <c r="AR223" i="1"/>
  <c r="AR220" i="1"/>
  <c r="AR218" i="1"/>
  <c r="AR197" i="1"/>
  <c r="AR193" i="1"/>
  <c r="AR201" i="1"/>
  <c r="AR200" i="1"/>
  <c r="AR199" i="1"/>
  <c r="AR198" i="1"/>
  <c r="AR192" i="1"/>
  <c r="AR196" i="1"/>
  <c r="AR195" i="1"/>
  <c r="AR194" i="1"/>
  <c r="AR134" i="1"/>
  <c r="AR135" i="1"/>
  <c r="AR128" i="1"/>
  <c r="AR137" i="1"/>
  <c r="AR131" i="1"/>
  <c r="AR136" i="1"/>
  <c r="AR129" i="1"/>
  <c r="N58" i="3"/>
  <c r="N57" i="3"/>
  <c r="N40" i="3"/>
  <c r="N60" i="3"/>
  <c r="AR111" i="1"/>
  <c r="AR110" i="1"/>
  <c r="AR109" i="1"/>
  <c r="AR108" i="1"/>
  <c r="AR107" i="1"/>
  <c r="AR106" i="1"/>
  <c r="AR105" i="1"/>
  <c r="AR104" i="1"/>
  <c r="AR100" i="1"/>
  <c r="AR101" i="1"/>
  <c r="AR103" i="1"/>
  <c r="AR102" i="1"/>
  <c r="AR98" i="1"/>
  <c r="AR96" i="1"/>
  <c r="AS23" i="12"/>
  <c r="AR99" i="1"/>
  <c r="D137" i="1"/>
  <c r="D120" i="4" s="1"/>
  <c r="D136" i="1"/>
  <c r="D119" i="4" s="1"/>
  <c r="D135" i="1"/>
  <c r="D118" i="4" s="1"/>
  <c r="D134" i="1"/>
  <c r="D117" i="4" s="1"/>
  <c r="D133" i="1"/>
  <c r="D116" i="4" s="1"/>
  <c r="D132" i="1"/>
  <c r="D115" i="4" s="1"/>
  <c r="D100" i="1"/>
  <c r="D83" i="4" s="1"/>
  <c r="D99" i="1"/>
  <c r="D82" i="4" s="1"/>
  <c r="D98" i="1"/>
  <c r="D81" i="4" s="1"/>
  <c r="D97" i="1"/>
  <c r="D80" i="4" s="1"/>
  <c r="D96" i="1"/>
  <c r="D79" i="4" s="1"/>
  <c r="D131" i="1"/>
  <c r="D114" i="4" s="1"/>
  <c r="D130" i="1"/>
  <c r="D113" i="4" s="1"/>
  <c r="D129" i="1"/>
  <c r="D112" i="4" s="1"/>
  <c r="D128" i="1"/>
  <c r="D111" i="4" s="1"/>
  <c r="D95" i="1"/>
  <c r="D78" i="4" s="1"/>
  <c r="D94" i="1"/>
  <c r="D77" i="4" s="1"/>
  <c r="D93" i="1"/>
  <c r="D76" i="4" s="1"/>
  <c r="D92" i="1"/>
  <c r="D75" i="4" s="1"/>
  <c r="J56" i="3"/>
  <c r="J41" i="3"/>
  <c r="I49" i="3"/>
  <c r="I50" i="3"/>
  <c r="I51" i="3"/>
  <c r="I52" i="3"/>
  <c r="I53" i="3"/>
  <c r="I37" i="3"/>
  <c r="I36" i="3"/>
  <c r="I35" i="3"/>
  <c r="I34" i="3"/>
  <c r="I33" i="3"/>
  <c r="D37" i="3"/>
  <c r="D36" i="3"/>
  <c r="D35" i="3"/>
  <c r="D34" i="3"/>
  <c r="D33" i="3"/>
  <c r="D63" i="1"/>
  <c r="D60" i="3" s="1"/>
  <c r="D62" i="1"/>
  <c r="D59" i="3" s="1"/>
  <c r="D61" i="1"/>
  <c r="D58" i="3" s="1"/>
  <c r="D60" i="1"/>
  <c r="D57" i="3" s="1"/>
  <c r="D59" i="1"/>
  <c r="D56" i="3" s="1"/>
  <c r="D40" i="1"/>
  <c r="D44" i="3" s="1"/>
  <c r="D39" i="1"/>
  <c r="D43" i="3" s="1"/>
  <c r="D38" i="1"/>
  <c r="D42" i="3" s="1"/>
  <c r="D37" i="1"/>
  <c r="D41" i="3" s="1"/>
  <c r="D36" i="1"/>
  <c r="D40" i="3" s="1"/>
  <c r="B8" i="1"/>
  <c r="J3" i="1"/>
  <c r="J3" i="12" l="1"/>
  <c r="J4" i="1"/>
  <c r="I3" i="11"/>
  <c r="AS24" i="12"/>
  <c r="AS61" i="1"/>
  <c r="AS62" i="1"/>
  <c r="AS63" i="1"/>
  <c r="AS60" i="1"/>
  <c r="M57" i="6"/>
  <c r="M61" i="6"/>
  <c r="M62" i="6"/>
  <c r="M63" i="6"/>
  <c r="M64" i="6"/>
  <c r="M58" i="6"/>
  <c r="M85" i="6"/>
  <c r="M82" i="6"/>
  <c r="M81" i="6"/>
  <c r="M87" i="6"/>
  <c r="M83" i="6"/>
  <c r="M55" i="6"/>
  <c r="M84" i="6"/>
  <c r="M56" i="6"/>
  <c r="M89" i="6"/>
  <c r="M86" i="6"/>
  <c r="M59" i="6"/>
  <c r="M88" i="6"/>
  <c r="M60" i="6"/>
  <c r="M90" i="6"/>
  <c r="M77" i="4"/>
  <c r="M90" i="4"/>
  <c r="L120" i="4"/>
  <c r="L116" i="4"/>
  <c r="N76" i="4"/>
  <c r="N84" i="4"/>
  <c r="L117" i="4"/>
  <c r="M82" i="4"/>
  <c r="M94" i="4"/>
  <c r="L111" i="4"/>
  <c r="M75" i="4"/>
  <c r="M79" i="4"/>
  <c r="L113" i="4"/>
  <c r="N91" i="4"/>
  <c r="M87" i="4"/>
  <c r="L119" i="4"/>
  <c r="M88" i="4"/>
  <c r="M89" i="4"/>
  <c r="M86" i="4"/>
  <c r="N85" i="4"/>
  <c r="L114" i="4"/>
  <c r="N93" i="4"/>
  <c r="M92" i="4"/>
  <c r="N83" i="4"/>
  <c r="N78" i="4"/>
  <c r="L112" i="4"/>
  <c r="M81" i="4"/>
  <c r="M80" i="4"/>
  <c r="L118" i="4"/>
  <c r="L115" i="4"/>
  <c r="O44" i="3"/>
  <c r="P59" i="3"/>
  <c r="Q42" i="3"/>
  <c r="P43" i="3"/>
  <c r="B17" i="1"/>
  <c r="B65" i="1" s="1"/>
  <c r="B175" i="1" s="1"/>
  <c r="K3" i="1"/>
  <c r="J3" i="4"/>
  <c r="J28" i="4" s="1"/>
  <c r="J3" i="6"/>
  <c r="AS227" i="1"/>
  <c r="AS225" i="1"/>
  <c r="AS226" i="1"/>
  <c r="AS224" i="1"/>
  <c r="AS223" i="1"/>
  <c r="AS220" i="1"/>
  <c r="AS222" i="1"/>
  <c r="AS219" i="1"/>
  <c r="AS221" i="1"/>
  <c r="AS218" i="1"/>
  <c r="AS196" i="1"/>
  <c r="AS192" i="1"/>
  <c r="AS201" i="1"/>
  <c r="AS200" i="1"/>
  <c r="AS199" i="1"/>
  <c r="AS198" i="1"/>
  <c r="AS195" i="1"/>
  <c r="AS194" i="1"/>
  <c r="AS193" i="1"/>
  <c r="AS197" i="1"/>
  <c r="AS137" i="1"/>
  <c r="AS136" i="1"/>
  <c r="AS135" i="1"/>
  <c r="AS134" i="1"/>
  <c r="AS131" i="1"/>
  <c r="AS128" i="1"/>
  <c r="AS129" i="1"/>
  <c r="K41" i="3"/>
  <c r="O60" i="3"/>
  <c r="O40" i="3"/>
  <c r="O58" i="3"/>
  <c r="K56" i="3"/>
  <c r="O57" i="3"/>
  <c r="AT23" i="12"/>
  <c r="AS111" i="1"/>
  <c r="AS110" i="1"/>
  <c r="AS109" i="1"/>
  <c r="AS108" i="1"/>
  <c r="AS107" i="1"/>
  <c r="AS106" i="1"/>
  <c r="AS105" i="1"/>
  <c r="AS104" i="1"/>
  <c r="AS103" i="1"/>
  <c r="AS102" i="1"/>
  <c r="AS101" i="1"/>
  <c r="AS100" i="1"/>
  <c r="AS99" i="1"/>
  <c r="AS98" i="1"/>
  <c r="AS96" i="1"/>
  <c r="C30" i="3"/>
  <c r="C46" i="3" s="1"/>
  <c r="I48" i="3"/>
  <c r="I32" i="3"/>
  <c r="D5" i="10" s="1"/>
  <c r="J5" i="1"/>
  <c r="J3" i="3"/>
  <c r="C19" i="1" l="1"/>
  <c r="C42" i="1" s="1"/>
  <c r="B255" i="1"/>
  <c r="J4" i="12"/>
  <c r="J4" i="3"/>
  <c r="J4" i="4"/>
  <c r="I4" i="11"/>
  <c r="J4" i="6"/>
  <c r="J5" i="12"/>
  <c r="I5" i="11"/>
  <c r="K3" i="3"/>
  <c r="K21" i="3" s="1"/>
  <c r="K50" i="3" s="1"/>
  <c r="K3" i="12"/>
  <c r="K4" i="1"/>
  <c r="J3" i="11"/>
  <c r="L3" i="1"/>
  <c r="L3" i="12" s="1"/>
  <c r="AT24" i="12"/>
  <c r="AT60" i="1"/>
  <c r="AT63" i="1"/>
  <c r="AT62" i="1"/>
  <c r="AT61" i="1"/>
  <c r="I28" i="3"/>
  <c r="D7" i="10"/>
  <c r="D9" i="10" s="1"/>
  <c r="E9" i="10" s="1"/>
  <c r="J32" i="6"/>
  <c r="J76" i="6" s="1"/>
  <c r="J31" i="6"/>
  <c r="J75" i="6" s="1"/>
  <c r="J34" i="6"/>
  <c r="J78" i="6" s="1"/>
  <c r="J30" i="6"/>
  <c r="J74" i="6" s="1"/>
  <c r="J33" i="6"/>
  <c r="J77" i="6" s="1"/>
  <c r="J29" i="6"/>
  <c r="J73" i="6" s="1"/>
  <c r="J25" i="6"/>
  <c r="J69" i="6" s="1"/>
  <c r="J28" i="6"/>
  <c r="J72" i="6" s="1"/>
  <c r="J27" i="6"/>
  <c r="J71" i="6" s="1"/>
  <c r="J18" i="6"/>
  <c r="J48" i="6" s="1"/>
  <c r="J26" i="6"/>
  <c r="J70" i="6" s="1"/>
  <c r="J22" i="6"/>
  <c r="J52" i="6" s="1"/>
  <c r="J21" i="6"/>
  <c r="J51" i="6" s="1"/>
  <c r="J20" i="6"/>
  <c r="J50" i="6" s="1"/>
  <c r="J16" i="6"/>
  <c r="J46" i="6" s="1"/>
  <c r="J17" i="6"/>
  <c r="J47" i="6" s="1"/>
  <c r="J15" i="6"/>
  <c r="J45" i="6" s="1"/>
  <c r="J14" i="6"/>
  <c r="J44" i="6" s="1"/>
  <c r="J19" i="6"/>
  <c r="J49" i="6" s="1"/>
  <c r="J13" i="6"/>
  <c r="J43" i="6" s="1"/>
  <c r="N90" i="6"/>
  <c r="N88" i="6"/>
  <c r="N86" i="6"/>
  <c r="N56" i="6"/>
  <c r="N55" i="6"/>
  <c r="N87" i="6"/>
  <c r="N82" i="6"/>
  <c r="N58" i="6"/>
  <c r="N63" i="6"/>
  <c r="N61" i="6"/>
  <c r="N60" i="6"/>
  <c r="N59" i="6"/>
  <c r="N89" i="6"/>
  <c r="N84" i="6"/>
  <c r="N83" i="6"/>
  <c r="N81" i="6"/>
  <c r="N85" i="6"/>
  <c r="N64" i="6"/>
  <c r="N62" i="6"/>
  <c r="N57" i="6"/>
  <c r="O78" i="4"/>
  <c r="M113" i="4"/>
  <c r="N75" i="4"/>
  <c r="N94" i="4"/>
  <c r="M117" i="4"/>
  <c r="O76" i="4"/>
  <c r="M116" i="4"/>
  <c r="N90" i="4"/>
  <c r="N81" i="4"/>
  <c r="N92" i="4"/>
  <c r="N88" i="4"/>
  <c r="J44" i="4"/>
  <c r="J108" i="4" s="1"/>
  <c r="J40" i="4"/>
  <c r="J104" i="4" s="1"/>
  <c r="J43" i="4"/>
  <c r="J107" i="4" s="1"/>
  <c r="J37" i="4"/>
  <c r="J101" i="4" s="1"/>
  <c r="J31" i="4"/>
  <c r="J71" i="4" s="1"/>
  <c r="J27" i="4"/>
  <c r="J67" i="4" s="1"/>
  <c r="J23" i="4"/>
  <c r="J63" i="4" s="1"/>
  <c r="J19" i="4"/>
  <c r="J59" i="4" s="1"/>
  <c r="J42" i="4"/>
  <c r="J106" i="4" s="1"/>
  <c r="J39" i="4"/>
  <c r="J103" i="4" s="1"/>
  <c r="J35" i="4"/>
  <c r="J99" i="4" s="1"/>
  <c r="J29" i="4"/>
  <c r="J69" i="4" s="1"/>
  <c r="J25" i="4"/>
  <c r="J65" i="4" s="1"/>
  <c r="J21" i="4"/>
  <c r="J61" i="4" s="1"/>
  <c r="J17" i="4"/>
  <c r="J57" i="4" s="1"/>
  <c r="J38" i="4"/>
  <c r="J102" i="4" s="1"/>
  <c r="J32" i="4"/>
  <c r="J72" i="4" s="1"/>
  <c r="J68" i="4"/>
  <c r="J20" i="4"/>
  <c r="J60" i="4" s="1"/>
  <c r="J14" i="4"/>
  <c r="J54" i="4" s="1"/>
  <c r="J13" i="4"/>
  <c r="J53" i="4" s="1"/>
  <c r="J16" i="4"/>
  <c r="J56" i="4" s="1"/>
  <c r="J36" i="4"/>
  <c r="J100" i="4" s="1"/>
  <c r="J26" i="4"/>
  <c r="J66" i="4" s="1"/>
  <c r="J18" i="4"/>
  <c r="J58" i="4" s="1"/>
  <c r="J15" i="4"/>
  <c r="J55" i="4" s="1"/>
  <c r="J24" i="4"/>
  <c r="J64" i="4" s="1"/>
  <c r="J41" i="4"/>
  <c r="J105" i="4" s="1"/>
  <c r="J30" i="4"/>
  <c r="J70" i="4" s="1"/>
  <c r="J22" i="4"/>
  <c r="J62" i="4" s="1"/>
  <c r="M115" i="4"/>
  <c r="N80" i="4"/>
  <c r="M112" i="4"/>
  <c r="O83" i="4"/>
  <c r="O93" i="4"/>
  <c r="O85" i="4"/>
  <c r="N89" i="4"/>
  <c r="M119" i="4"/>
  <c r="N86" i="4"/>
  <c r="O91" i="4"/>
  <c r="N79" i="4"/>
  <c r="M111" i="4"/>
  <c r="N82" i="4"/>
  <c r="O84" i="4"/>
  <c r="M120" i="4"/>
  <c r="N77" i="4"/>
  <c r="M118" i="4"/>
  <c r="M114" i="4"/>
  <c r="N87" i="4"/>
  <c r="Q43" i="3"/>
  <c r="R42" i="3"/>
  <c r="P44" i="3"/>
  <c r="Q59" i="3"/>
  <c r="J23" i="3"/>
  <c r="J52" i="3" s="1"/>
  <c r="J21" i="3"/>
  <c r="J50" i="3" s="1"/>
  <c r="J20" i="3"/>
  <c r="J49" i="3" s="1"/>
  <c r="J17" i="3"/>
  <c r="J37" i="3" s="1"/>
  <c r="J15" i="3"/>
  <c r="J35" i="3" s="1"/>
  <c r="J22" i="3"/>
  <c r="J51" i="3" s="1"/>
  <c r="J14" i="3"/>
  <c r="J34" i="3" s="1"/>
  <c r="J24" i="3"/>
  <c r="J53" i="3" s="1"/>
  <c r="J16" i="3"/>
  <c r="J36" i="3" s="1"/>
  <c r="J13" i="3"/>
  <c r="J33" i="3" s="1"/>
  <c r="K17" i="3"/>
  <c r="K37" i="3" s="1"/>
  <c r="C67" i="1"/>
  <c r="C113" i="1" s="1"/>
  <c r="K5" i="1"/>
  <c r="K5" i="3" s="1"/>
  <c r="J5" i="3"/>
  <c r="J5" i="6"/>
  <c r="J5" i="4"/>
  <c r="K3" i="4"/>
  <c r="K3" i="6"/>
  <c r="AT227" i="1"/>
  <c r="AT225" i="1"/>
  <c r="AT223" i="1"/>
  <c r="AT224" i="1"/>
  <c r="AT222" i="1"/>
  <c r="AT226" i="1"/>
  <c r="AT221" i="1"/>
  <c r="AT218" i="1"/>
  <c r="AT220" i="1"/>
  <c r="AT219" i="1"/>
  <c r="AT201" i="1"/>
  <c r="AT200" i="1"/>
  <c r="AT199" i="1"/>
  <c r="AT195" i="1"/>
  <c r="AT198" i="1"/>
  <c r="AT197" i="1"/>
  <c r="AT196" i="1"/>
  <c r="AT194" i="1"/>
  <c r="AT193" i="1"/>
  <c r="AT192" i="1"/>
  <c r="AT136" i="1"/>
  <c r="AT135" i="1"/>
  <c r="AT134" i="1"/>
  <c r="AT131" i="1"/>
  <c r="AT137" i="1"/>
  <c r="AT129" i="1"/>
  <c r="AT128" i="1"/>
  <c r="P57" i="3"/>
  <c r="P58" i="3"/>
  <c r="P60" i="3"/>
  <c r="P40" i="3"/>
  <c r="L56" i="3"/>
  <c r="L41" i="3"/>
  <c r="AU23" i="12"/>
  <c r="AT111" i="1"/>
  <c r="AT109" i="1"/>
  <c r="AT107" i="1"/>
  <c r="AT106" i="1"/>
  <c r="AT110" i="1"/>
  <c r="AT108" i="1"/>
  <c r="AT104" i="1"/>
  <c r="AT101" i="1"/>
  <c r="AT98" i="1"/>
  <c r="AT96" i="1"/>
  <c r="AT103" i="1"/>
  <c r="AT102" i="1"/>
  <c r="AT99" i="1"/>
  <c r="AT100" i="1"/>
  <c r="AT105" i="1"/>
  <c r="K13" i="3" l="1"/>
  <c r="K33" i="3" s="1"/>
  <c r="K22" i="3"/>
  <c r="K51" i="3" s="1"/>
  <c r="L3" i="4"/>
  <c r="L3" i="3"/>
  <c r="L23" i="3" s="1"/>
  <c r="L52" i="3" s="1"/>
  <c r="L3" i="6"/>
  <c r="L32" i="6" s="1"/>
  <c r="L76" i="6" s="1"/>
  <c r="K15" i="3"/>
  <c r="K35" i="3" s="1"/>
  <c r="K24" i="3"/>
  <c r="K53" i="3" s="1"/>
  <c r="M3" i="1"/>
  <c r="M3" i="12" s="1"/>
  <c r="K14" i="3"/>
  <c r="K34" i="3" s="1"/>
  <c r="K3" i="11"/>
  <c r="K16" i="3"/>
  <c r="K36" i="3" s="1"/>
  <c r="L4" i="1"/>
  <c r="K4" i="11" s="1"/>
  <c r="K4" i="3"/>
  <c r="K4" i="12"/>
  <c r="J4" i="11"/>
  <c r="K4" i="6"/>
  <c r="K4" i="4"/>
  <c r="K20" i="3"/>
  <c r="K49" i="3" s="1"/>
  <c r="K23" i="3"/>
  <c r="K52" i="3" s="1"/>
  <c r="K5" i="4"/>
  <c r="K5" i="12"/>
  <c r="J5" i="11"/>
  <c r="AU24" i="12"/>
  <c r="AU63" i="1"/>
  <c r="AU62" i="1"/>
  <c r="AU60" i="1"/>
  <c r="AU61" i="1"/>
  <c r="J42" i="6"/>
  <c r="L33" i="6"/>
  <c r="L77" i="6" s="1"/>
  <c r="J68" i="6"/>
  <c r="K31" i="6"/>
  <c r="K75" i="6" s="1"/>
  <c r="K34" i="6"/>
  <c r="K78" i="6" s="1"/>
  <c r="K30" i="6"/>
  <c r="K74" i="6" s="1"/>
  <c r="K33" i="6"/>
  <c r="K77" i="6" s="1"/>
  <c r="K29" i="6"/>
  <c r="K73" i="6" s="1"/>
  <c r="K28" i="6"/>
  <c r="K72" i="6" s="1"/>
  <c r="K22" i="6"/>
  <c r="K52" i="6" s="1"/>
  <c r="K32" i="6"/>
  <c r="K76" i="6" s="1"/>
  <c r="K27" i="6"/>
  <c r="K71" i="6" s="1"/>
  <c r="K26" i="6"/>
  <c r="K70" i="6" s="1"/>
  <c r="K21" i="6"/>
  <c r="K51" i="6" s="1"/>
  <c r="K17" i="6"/>
  <c r="K47" i="6" s="1"/>
  <c r="K25" i="6"/>
  <c r="K69" i="6" s="1"/>
  <c r="K20" i="6"/>
  <c r="K50" i="6" s="1"/>
  <c r="K19" i="6"/>
  <c r="K49" i="6" s="1"/>
  <c r="K14" i="6"/>
  <c r="K44" i="6" s="1"/>
  <c r="K13" i="6"/>
  <c r="K43" i="6" s="1"/>
  <c r="K15" i="6"/>
  <c r="K45" i="6" s="1"/>
  <c r="K18" i="6"/>
  <c r="K48" i="6" s="1"/>
  <c r="K16" i="6"/>
  <c r="K46" i="6" s="1"/>
  <c r="O64" i="6"/>
  <c r="O84" i="6"/>
  <c r="O61" i="6"/>
  <c r="O87" i="6"/>
  <c r="O56" i="6"/>
  <c r="O57" i="6"/>
  <c r="O81" i="6"/>
  <c r="O59" i="6"/>
  <c r="O58" i="6"/>
  <c r="O88" i="6"/>
  <c r="O62" i="6"/>
  <c r="O85" i="6"/>
  <c r="O83" i="6"/>
  <c r="O89" i="6"/>
  <c r="O60" i="6"/>
  <c r="O63" i="6"/>
  <c r="O82" i="6"/>
  <c r="O55" i="6"/>
  <c r="O86" i="6"/>
  <c r="O90" i="6"/>
  <c r="O87" i="4"/>
  <c r="N118" i="4"/>
  <c r="N120" i="4"/>
  <c r="O82" i="4"/>
  <c r="O79" i="4"/>
  <c r="O86" i="4"/>
  <c r="O89" i="4"/>
  <c r="P93" i="4"/>
  <c r="N112" i="4"/>
  <c r="N115" i="4"/>
  <c r="J98" i="4"/>
  <c r="O90" i="4"/>
  <c r="P76" i="4"/>
  <c r="O94" i="4"/>
  <c r="N113" i="4"/>
  <c r="O88" i="4"/>
  <c r="O81" i="4"/>
  <c r="K43" i="4"/>
  <c r="K107" i="4" s="1"/>
  <c r="K39" i="4"/>
  <c r="K103" i="4" s="1"/>
  <c r="K42" i="4"/>
  <c r="K106" i="4" s="1"/>
  <c r="K41" i="4"/>
  <c r="K105" i="4" s="1"/>
  <c r="K36" i="4"/>
  <c r="K100" i="4" s="1"/>
  <c r="K30" i="4"/>
  <c r="K70" i="4" s="1"/>
  <c r="K26" i="4"/>
  <c r="K66" i="4" s="1"/>
  <c r="K22" i="4"/>
  <c r="K62" i="4" s="1"/>
  <c r="K18" i="4"/>
  <c r="K58" i="4" s="1"/>
  <c r="K44" i="4"/>
  <c r="K108" i="4" s="1"/>
  <c r="K40" i="4"/>
  <c r="K104" i="4" s="1"/>
  <c r="K38" i="4"/>
  <c r="K102" i="4" s="1"/>
  <c r="K28" i="4"/>
  <c r="K68" i="4" s="1"/>
  <c r="K24" i="4"/>
  <c r="K64" i="4" s="1"/>
  <c r="K20" i="4"/>
  <c r="K60" i="4" s="1"/>
  <c r="K16" i="4"/>
  <c r="K56" i="4" s="1"/>
  <c r="K31" i="4"/>
  <c r="K71" i="4" s="1"/>
  <c r="K23" i="4"/>
  <c r="K63" i="4" s="1"/>
  <c r="K13" i="4"/>
  <c r="K53" i="4" s="1"/>
  <c r="K29" i="4"/>
  <c r="K69" i="4" s="1"/>
  <c r="K21" i="4"/>
  <c r="K61" i="4" s="1"/>
  <c r="K17" i="4"/>
  <c r="K57" i="4" s="1"/>
  <c r="K14" i="4"/>
  <c r="K54" i="4" s="1"/>
  <c r="K37" i="4"/>
  <c r="K101" i="4" s="1"/>
  <c r="K32" i="4"/>
  <c r="K72" i="4" s="1"/>
  <c r="K27" i="4"/>
  <c r="K67" i="4" s="1"/>
  <c r="K19" i="4"/>
  <c r="K59" i="4" s="1"/>
  <c r="K15" i="4"/>
  <c r="K55" i="4" s="1"/>
  <c r="K35" i="4"/>
  <c r="K99" i="4" s="1"/>
  <c r="K25" i="4"/>
  <c r="K65" i="4" s="1"/>
  <c r="L42" i="4"/>
  <c r="L106" i="4" s="1"/>
  <c r="L41" i="4"/>
  <c r="L105" i="4" s="1"/>
  <c r="L44" i="4"/>
  <c r="L108" i="4" s="1"/>
  <c r="L35" i="4"/>
  <c r="L99" i="4" s="1"/>
  <c r="L29" i="4"/>
  <c r="L69" i="4" s="1"/>
  <c r="L25" i="4"/>
  <c r="L65" i="4" s="1"/>
  <c r="L21" i="4"/>
  <c r="L61" i="4" s="1"/>
  <c r="L17" i="4"/>
  <c r="L57" i="4" s="1"/>
  <c r="L37" i="4"/>
  <c r="L101" i="4" s="1"/>
  <c r="L32" i="4"/>
  <c r="L72" i="4" s="1"/>
  <c r="L31" i="4"/>
  <c r="L71" i="4" s="1"/>
  <c r="L27" i="4"/>
  <c r="L67" i="4" s="1"/>
  <c r="L23" i="4"/>
  <c r="L63" i="4" s="1"/>
  <c r="L19" i="4"/>
  <c r="L59" i="4" s="1"/>
  <c r="L43" i="4"/>
  <c r="L107" i="4" s="1"/>
  <c r="L36" i="4"/>
  <c r="L100" i="4" s="1"/>
  <c r="L26" i="4"/>
  <c r="L66" i="4" s="1"/>
  <c r="L18" i="4"/>
  <c r="L58" i="4" s="1"/>
  <c r="L15" i="4"/>
  <c r="L55" i="4" s="1"/>
  <c r="L13" i="4"/>
  <c r="L53" i="4" s="1"/>
  <c r="L40" i="4"/>
  <c r="L104" i="4" s="1"/>
  <c r="L39" i="4"/>
  <c r="L103" i="4" s="1"/>
  <c r="L24" i="4"/>
  <c r="L64" i="4" s="1"/>
  <c r="L30" i="4"/>
  <c r="L70" i="4" s="1"/>
  <c r="L22" i="4"/>
  <c r="L62" i="4" s="1"/>
  <c r="L16" i="4"/>
  <c r="L56" i="4" s="1"/>
  <c r="L14" i="4"/>
  <c r="L54" i="4" s="1"/>
  <c r="L38" i="4"/>
  <c r="L102" i="4" s="1"/>
  <c r="L28" i="4"/>
  <c r="L68" i="4" s="1"/>
  <c r="L20" i="4"/>
  <c r="L60" i="4" s="1"/>
  <c r="N114" i="4"/>
  <c r="O77" i="4"/>
  <c r="P84" i="4"/>
  <c r="N111" i="4"/>
  <c r="P91" i="4"/>
  <c r="N119" i="4"/>
  <c r="P85" i="4"/>
  <c r="P83" i="4"/>
  <c r="O80" i="4"/>
  <c r="J52" i="4"/>
  <c r="N116" i="4"/>
  <c r="N117" i="4"/>
  <c r="O75" i="4"/>
  <c r="O92" i="4"/>
  <c r="P78" i="4"/>
  <c r="R43" i="3"/>
  <c r="R59" i="3"/>
  <c r="Q44" i="3"/>
  <c r="C139" i="1"/>
  <c r="C177" i="1" s="1"/>
  <c r="C203" i="1" s="1"/>
  <c r="S42" i="3"/>
  <c r="J48" i="3"/>
  <c r="L21" i="3"/>
  <c r="L50" i="3" s="1"/>
  <c r="L20" i="3"/>
  <c r="L49" i="3" s="1"/>
  <c r="L24" i="3"/>
  <c r="L53" i="3" s="1"/>
  <c r="L14" i="3"/>
  <c r="L34" i="3" s="1"/>
  <c r="L16" i="3"/>
  <c r="L36" i="3" s="1"/>
  <c r="L13" i="3"/>
  <c r="L33" i="3" s="1"/>
  <c r="J32" i="3"/>
  <c r="K5" i="6"/>
  <c r="L5" i="1"/>
  <c r="AU226" i="1"/>
  <c r="AU223" i="1"/>
  <c r="AU222" i="1"/>
  <c r="AU221" i="1"/>
  <c r="AU219" i="1"/>
  <c r="AU218" i="1"/>
  <c r="AU224" i="1"/>
  <c r="AU220" i="1"/>
  <c r="AU225" i="1"/>
  <c r="AU227" i="1"/>
  <c r="AU200" i="1"/>
  <c r="AU201" i="1"/>
  <c r="AU198" i="1"/>
  <c r="AU194" i="1"/>
  <c r="AU197" i="1"/>
  <c r="AU196" i="1"/>
  <c r="AU195" i="1"/>
  <c r="AU192" i="1"/>
  <c r="AU199" i="1"/>
  <c r="AU193" i="1"/>
  <c r="AU136" i="1"/>
  <c r="AU135" i="1"/>
  <c r="AU134" i="1"/>
  <c r="AU137" i="1"/>
  <c r="AU129" i="1"/>
  <c r="AU128" i="1"/>
  <c r="AU131" i="1"/>
  <c r="Q40" i="3"/>
  <c r="M56" i="3"/>
  <c r="Q60" i="3"/>
  <c r="Q57" i="3"/>
  <c r="M41" i="3"/>
  <c r="Q58" i="3"/>
  <c r="AV23" i="12"/>
  <c r="AU110" i="1"/>
  <c r="AU108" i="1"/>
  <c r="AU105" i="1"/>
  <c r="AU104" i="1"/>
  <c r="AU103" i="1"/>
  <c r="AU109" i="1"/>
  <c r="AU102" i="1"/>
  <c r="AU107" i="1"/>
  <c r="AU99" i="1"/>
  <c r="AU106" i="1"/>
  <c r="AU100" i="1"/>
  <c r="AU98" i="1"/>
  <c r="AU96" i="1"/>
  <c r="AU111" i="1"/>
  <c r="AU101" i="1"/>
  <c r="L15" i="3" l="1"/>
  <c r="L35" i="3" s="1"/>
  <c r="L29" i="6"/>
  <c r="L73" i="6" s="1"/>
  <c r="L17" i="3"/>
  <c r="L37" i="3" s="1"/>
  <c r="L15" i="6"/>
  <c r="L45" i="6" s="1"/>
  <c r="L13" i="6"/>
  <c r="L43" i="6" s="1"/>
  <c r="L20" i="6"/>
  <c r="L50" i="6" s="1"/>
  <c r="L22" i="6"/>
  <c r="L52" i="6" s="1"/>
  <c r="L21" i="6"/>
  <c r="L51" i="6" s="1"/>
  <c r="L31" i="6"/>
  <c r="L75" i="6" s="1"/>
  <c r="L22" i="3"/>
  <c r="L51" i="3" s="1"/>
  <c r="L48" i="3" s="1"/>
  <c r="L16" i="6"/>
  <c r="L46" i="6" s="1"/>
  <c r="L30" i="6"/>
  <c r="L74" i="6" s="1"/>
  <c r="L34" i="6"/>
  <c r="L78" i="6" s="1"/>
  <c r="L4" i="12"/>
  <c r="L14" i="6"/>
  <c r="L44" i="6" s="1"/>
  <c r="L25" i="6"/>
  <c r="L69" i="6" s="1"/>
  <c r="L18" i="6"/>
  <c r="L48" i="6" s="1"/>
  <c r="L26" i="6"/>
  <c r="L70" i="6" s="1"/>
  <c r="L28" i="6"/>
  <c r="L72" i="6" s="1"/>
  <c r="L27" i="6"/>
  <c r="L71" i="6" s="1"/>
  <c r="L17" i="6"/>
  <c r="L47" i="6" s="1"/>
  <c r="L19" i="6"/>
  <c r="L49" i="6" s="1"/>
  <c r="K48" i="3"/>
  <c r="M5" i="1"/>
  <c r="L5" i="11" s="1"/>
  <c r="L4" i="3"/>
  <c r="L3" i="11"/>
  <c r="L4" i="4"/>
  <c r="M3" i="3"/>
  <c r="M15" i="3" s="1"/>
  <c r="M35" i="3" s="1"/>
  <c r="M3" i="6"/>
  <c r="M29" i="6" s="1"/>
  <c r="M73" i="6" s="1"/>
  <c r="M4" i="1"/>
  <c r="L4" i="11" s="1"/>
  <c r="L4" i="6"/>
  <c r="N3" i="1"/>
  <c r="N3" i="12" s="1"/>
  <c r="M3" i="4"/>
  <c r="M40" i="4" s="1"/>
  <c r="M104" i="4" s="1"/>
  <c r="L5" i="3"/>
  <c r="L5" i="12"/>
  <c r="K5" i="11"/>
  <c r="AV24" i="12"/>
  <c r="J28" i="3"/>
  <c r="I11" i="11" s="1"/>
  <c r="J38" i="6"/>
  <c r="C229" i="1"/>
  <c r="AV62" i="1"/>
  <c r="AV61" i="1"/>
  <c r="AV63" i="1"/>
  <c r="AV60" i="1"/>
  <c r="J48" i="4"/>
  <c r="K42" i="6"/>
  <c r="K68" i="6"/>
  <c r="P90" i="6"/>
  <c r="P55" i="6"/>
  <c r="P63" i="6"/>
  <c r="P89" i="6"/>
  <c r="P85" i="6"/>
  <c r="P88" i="6"/>
  <c r="P59" i="6"/>
  <c r="P57" i="6"/>
  <c r="P87" i="6"/>
  <c r="P84" i="6"/>
  <c r="P86" i="6"/>
  <c r="P82" i="6"/>
  <c r="P60" i="6"/>
  <c r="P83" i="6"/>
  <c r="P62" i="6"/>
  <c r="P58" i="6"/>
  <c r="P81" i="6"/>
  <c r="P56" i="6"/>
  <c r="P61" i="6"/>
  <c r="P64" i="6"/>
  <c r="L98" i="4"/>
  <c r="K98" i="4"/>
  <c r="O117" i="4"/>
  <c r="L52" i="4"/>
  <c r="O112" i="4"/>
  <c r="P89" i="4"/>
  <c r="P79" i="4"/>
  <c r="O120" i="4"/>
  <c r="P87" i="4"/>
  <c r="Q78" i="4"/>
  <c r="P80" i="4"/>
  <c r="Q85" i="4"/>
  <c r="Q91" i="4"/>
  <c r="Q84" i="4"/>
  <c r="O114" i="4"/>
  <c r="P88" i="4"/>
  <c r="O113" i="4"/>
  <c r="Q76" i="4"/>
  <c r="P75" i="4"/>
  <c r="O116" i="4"/>
  <c r="O115" i="4"/>
  <c r="Q93" i="4"/>
  <c r="P86" i="4"/>
  <c r="P82" i="4"/>
  <c r="O118" i="4"/>
  <c r="P92" i="4"/>
  <c r="Q83" i="4"/>
  <c r="O119" i="4"/>
  <c r="O111" i="4"/>
  <c r="P77" i="4"/>
  <c r="K52" i="4"/>
  <c r="P81" i="4"/>
  <c r="P94" i="4"/>
  <c r="P90" i="4"/>
  <c r="L5" i="4"/>
  <c r="L5" i="6"/>
  <c r="S59" i="3"/>
  <c r="T42" i="3"/>
  <c r="S43" i="3"/>
  <c r="R44" i="3"/>
  <c r="K32" i="3"/>
  <c r="AV226" i="1"/>
  <c r="AV224" i="1"/>
  <c r="AV222" i="1"/>
  <c r="AV221" i="1"/>
  <c r="AV225" i="1"/>
  <c r="AV220" i="1"/>
  <c r="AV227" i="1"/>
  <c r="AV223" i="1"/>
  <c r="AV219" i="1"/>
  <c r="AV218" i="1"/>
  <c r="AV199" i="1"/>
  <c r="AV197" i="1"/>
  <c r="AV193" i="1"/>
  <c r="AV200" i="1"/>
  <c r="AV196" i="1"/>
  <c r="AV201" i="1"/>
  <c r="AV192" i="1"/>
  <c r="AV198" i="1"/>
  <c r="AV195" i="1"/>
  <c r="AV194" i="1"/>
  <c r="AV137" i="1"/>
  <c r="AV134" i="1"/>
  <c r="AV129" i="1"/>
  <c r="AV136" i="1"/>
  <c r="AV135" i="1"/>
  <c r="AV131" i="1"/>
  <c r="AV128" i="1"/>
  <c r="R57" i="3"/>
  <c r="R58" i="3"/>
  <c r="N41" i="3"/>
  <c r="R60" i="3"/>
  <c r="R40" i="3"/>
  <c r="N56" i="3"/>
  <c r="AW23" i="12"/>
  <c r="AV111" i="1"/>
  <c r="AV110" i="1"/>
  <c r="AV109" i="1"/>
  <c r="AV108" i="1"/>
  <c r="AV107" i="1"/>
  <c r="AV105" i="1"/>
  <c r="AV104" i="1"/>
  <c r="AV103" i="1"/>
  <c r="AV106" i="1"/>
  <c r="AV99" i="1"/>
  <c r="AV100" i="1"/>
  <c r="AV101" i="1"/>
  <c r="AV98" i="1"/>
  <c r="AV96" i="1"/>
  <c r="AV102" i="1"/>
  <c r="M43" i="4" l="1"/>
  <c r="M107" i="4" s="1"/>
  <c r="M30" i="4"/>
  <c r="M70" i="4" s="1"/>
  <c r="M28" i="4"/>
  <c r="M68" i="4" s="1"/>
  <c r="M42" i="4"/>
  <c r="M106" i="4" s="1"/>
  <c r="M29" i="4"/>
  <c r="M69" i="4" s="1"/>
  <c r="M22" i="3"/>
  <c r="M51" i="3" s="1"/>
  <c r="M17" i="4"/>
  <c r="M57" i="4" s="1"/>
  <c r="M19" i="4"/>
  <c r="M59" i="4" s="1"/>
  <c r="M20" i="3"/>
  <c r="M49" i="3" s="1"/>
  <c r="M17" i="3"/>
  <c r="M37" i="3" s="1"/>
  <c r="M24" i="3"/>
  <c r="M53" i="3" s="1"/>
  <c r="N3" i="6"/>
  <c r="N19" i="6" s="1"/>
  <c r="N49" i="6" s="1"/>
  <c r="N3" i="4"/>
  <c r="N37" i="4" s="1"/>
  <c r="N101" i="4" s="1"/>
  <c r="M5" i="4"/>
  <c r="M5" i="6"/>
  <c r="N3" i="3"/>
  <c r="N23" i="3" s="1"/>
  <c r="N52" i="3" s="1"/>
  <c r="O3" i="1"/>
  <c r="O3" i="12" s="1"/>
  <c r="M5" i="3"/>
  <c r="N5" i="1"/>
  <c r="M5" i="11" s="1"/>
  <c r="K28" i="3"/>
  <c r="J11" i="11" s="1"/>
  <c r="L68" i="6"/>
  <c r="L42" i="6"/>
  <c r="M13" i="6"/>
  <c r="M43" i="6" s="1"/>
  <c r="M17" i="6"/>
  <c r="M47" i="6" s="1"/>
  <c r="M5" i="12"/>
  <c r="M19" i="6"/>
  <c r="M49" i="6" s="1"/>
  <c r="M33" i="6"/>
  <c r="M77" i="6" s="1"/>
  <c r="M16" i="3"/>
  <c r="M36" i="3" s="1"/>
  <c r="M14" i="3"/>
  <c r="M34" i="3" s="1"/>
  <c r="M26" i="6"/>
  <c r="M70" i="6" s="1"/>
  <c r="M21" i="3"/>
  <c r="M50" i="3" s="1"/>
  <c r="M3" i="11"/>
  <c r="M13" i="3"/>
  <c r="M33" i="3" s="1"/>
  <c r="M23" i="3"/>
  <c r="M52" i="3" s="1"/>
  <c r="M4" i="12"/>
  <c r="N4" i="1"/>
  <c r="N4" i="4" s="1"/>
  <c r="M4" i="4"/>
  <c r="M4" i="3"/>
  <c r="M23" i="4"/>
  <c r="M63" i="4" s="1"/>
  <c r="M25" i="4"/>
  <c r="M65" i="4" s="1"/>
  <c r="M27" i="4"/>
  <c r="M67" i="4" s="1"/>
  <c r="M14" i="4"/>
  <c r="M54" i="4" s="1"/>
  <c r="M18" i="4"/>
  <c r="M58" i="4" s="1"/>
  <c r="M36" i="4"/>
  <c r="M100" i="4" s="1"/>
  <c r="M38" i="4"/>
  <c r="M102" i="4" s="1"/>
  <c r="M44" i="4"/>
  <c r="M108" i="4" s="1"/>
  <c r="M20" i="6"/>
  <c r="M50" i="6" s="1"/>
  <c r="M15" i="6"/>
  <c r="M45" i="6" s="1"/>
  <c r="M21" i="6"/>
  <c r="M51" i="6" s="1"/>
  <c r="M25" i="6"/>
  <c r="M69" i="6" s="1"/>
  <c r="M31" i="6"/>
  <c r="M75" i="6" s="1"/>
  <c r="M4" i="6"/>
  <c r="M31" i="4"/>
  <c r="M71" i="4" s="1"/>
  <c r="M35" i="4"/>
  <c r="M99" i="4" s="1"/>
  <c r="M32" i="4"/>
  <c r="M72" i="4" s="1"/>
  <c r="M15" i="4"/>
  <c r="M55" i="4" s="1"/>
  <c r="M22" i="4"/>
  <c r="M62" i="4" s="1"/>
  <c r="M20" i="4"/>
  <c r="M60" i="4" s="1"/>
  <c r="M39" i="4"/>
  <c r="M103" i="4" s="1"/>
  <c r="M41" i="4"/>
  <c r="M105" i="4" s="1"/>
  <c r="M22" i="6"/>
  <c r="M52" i="6" s="1"/>
  <c r="M16" i="6"/>
  <c r="M46" i="6" s="1"/>
  <c r="M30" i="6"/>
  <c r="M74" i="6" s="1"/>
  <c r="M28" i="6"/>
  <c r="M72" i="6" s="1"/>
  <c r="M32" i="6"/>
  <c r="M76" i="6" s="1"/>
  <c r="M13" i="4"/>
  <c r="M53" i="4" s="1"/>
  <c r="M16" i="4"/>
  <c r="M56" i="4" s="1"/>
  <c r="M37" i="4"/>
  <c r="M101" i="4" s="1"/>
  <c r="M21" i="4"/>
  <c r="M61" i="4" s="1"/>
  <c r="M26" i="4"/>
  <c r="M66" i="4" s="1"/>
  <c r="M24" i="4"/>
  <c r="M64" i="4" s="1"/>
  <c r="M14" i="6"/>
  <c r="M44" i="6" s="1"/>
  <c r="M27" i="6"/>
  <c r="M71" i="6" s="1"/>
  <c r="M18" i="6"/>
  <c r="M48" i="6" s="1"/>
  <c r="M34" i="6"/>
  <c r="M78" i="6" s="1"/>
  <c r="AW24" i="12"/>
  <c r="I13" i="11"/>
  <c r="I12" i="11"/>
  <c r="K48" i="4"/>
  <c r="L48" i="4"/>
  <c r="AW61" i="1"/>
  <c r="AW63" i="1"/>
  <c r="AW60" i="1"/>
  <c r="AW62" i="1"/>
  <c r="K38" i="6"/>
  <c r="Q64" i="6"/>
  <c r="Q56" i="6"/>
  <c r="Q58" i="6"/>
  <c r="Q83" i="6"/>
  <c r="Q82" i="6"/>
  <c r="Q84" i="6"/>
  <c r="Q57" i="6"/>
  <c r="Q88" i="6"/>
  <c r="Q89" i="6"/>
  <c r="Q55" i="6"/>
  <c r="Q61" i="6"/>
  <c r="Q81" i="6"/>
  <c r="Q62" i="6"/>
  <c r="Q60" i="6"/>
  <c r="Q86" i="6"/>
  <c r="Q87" i="6"/>
  <c r="Q59" i="6"/>
  <c r="Q85" i="6"/>
  <c r="Q63" i="6"/>
  <c r="Q90" i="6"/>
  <c r="Q94" i="4"/>
  <c r="P118" i="4"/>
  <c r="Q86" i="4"/>
  <c r="P115" i="4"/>
  <c r="Q75" i="4"/>
  <c r="Q87" i="4"/>
  <c r="Q79" i="4"/>
  <c r="P112" i="4"/>
  <c r="N23" i="4"/>
  <c r="N63" i="4" s="1"/>
  <c r="N19" i="4"/>
  <c r="N59" i="4" s="1"/>
  <c r="N35" i="4"/>
  <c r="N99" i="4" s="1"/>
  <c r="Q77" i="4"/>
  <c r="P119" i="4"/>
  <c r="Q92" i="4"/>
  <c r="R76" i="4"/>
  <c r="Q88" i="4"/>
  <c r="R84" i="4"/>
  <c r="R85" i="4"/>
  <c r="R78" i="4"/>
  <c r="Q90" i="4"/>
  <c r="Q81" i="4"/>
  <c r="R83" i="4"/>
  <c r="Q82" i="4"/>
  <c r="R93" i="4"/>
  <c r="P116" i="4"/>
  <c r="P120" i="4"/>
  <c r="Q89" i="4"/>
  <c r="P111" i="4"/>
  <c r="P113" i="4"/>
  <c r="P114" i="4"/>
  <c r="R91" i="4"/>
  <c r="Q80" i="4"/>
  <c r="P117" i="4"/>
  <c r="T59" i="3"/>
  <c r="T43" i="3"/>
  <c r="U42" i="3"/>
  <c r="S44" i="3"/>
  <c r="L32" i="3"/>
  <c r="L28" i="3" s="1"/>
  <c r="N14" i="3"/>
  <c r="N34" i="3" s="1"/>
  <c r="N22" i="3"/>
  <c r="N51" i="3" s="1"/>
  <c r="N16" i="3"/>
  <c r="N36" i="3" s="1"/>
  <c r="O3" i="6"/>
  <c r="AW227" i="1"/>
  <c r="AW225" i="1"/>
  <c r="AW220" i="1"/>
  <c r="AW226" i="1"/>
  <c r="AW224" i="1"/>
  <c r="AW221" i="1"/>
  <c r="AW223" i="1"/>
  <c r="AW219" i="1"/>
  <c r="AW218" i="1"/>
  <c r="AW222" i="1"/>
  <c r="AW196" i="1"/>
  <c r="AW192" i="1"/>
  <c r="AW201" i="1"/>
  <c r="AW200" i="1"/>
  <c r="AW199" i="1"/>
  <c r="AW198" i="1"/>
  <c r="AW197" i="1"/>
  <c r="AW195" i="1"/>
  <c r="AW194" i="1"/>
  <c r="AW193" i="1"/>
  <c r="AW137" i="1"/>
  <c r="AW136" i="1"/>
  <c r="AW135" i="1"/>
  <c r="AW134" i="1"/>
  <c r="AW128" i="1"/>
  <c r="AW131" i="1"/>
  <c r="AW129" i="1"/>
  <c r="S57" i="3"/>
  <c r="O56" i="3"/>
  <c r="O41" i="3"/>
  <c r="S60" i="3"/>
  <c r="S40" i="3"/>
  <c r="S58" i="3"/>
  <c r="AX23" i="12"/>
  <c r="AW111" i="1"/>
  <c r="AW110" i="1"/>
  <c r="AW109" i="1"/>
  <c r="AW108" i="1"/>
  <c r="AW107" i="1"/>
  <c r="AW106" i="1"/>
  <c r="AW105" i="1"/>
  <c r="AW104" i="1"/>
  <c r="AW103" i="1"/>
  <c r="AW102" i="1"/>
  <c r="AW101" i="1"/>
  <c r="AW100" i="1"/>
  <c r="AW99" i="1"/>
  <c r="AW98" i="1"/>
  <c r="AW96" i="1"/>
  <c r="O3" i="3"/>
  <c r="N5" i="3"/>
  <c r="N5" i="6" l="1"/>
  <c r="N5" i="4"/>
  <c r="N21" i="6"/>
  <c r="N51" i="6" s="1"/>
  <c r="M48" i="3"/>
  <c r="N25" i="4"/>
  <c r="N65" i="4" s="1"/>
  <c r="N29" i="4"/>
  <c r="N69" i="4" s="1"/>
  <c r="N26" i="4"/>
  <c r="N66" i="4" s="1"/>
  <c r="N36" i="4"/>
  <c r="N100" i="4" s="1"/>
  <c r="N20" i="4"/>
  <c r="N60" i="4" s="1"/>
  <c r="N42" i="4"/>
  <c r="N106" i="4" s="1"/>
  <c r="N18" i="4"/>
  <c r="N58" i="4" s="1"/>
  <c r="N13" i="4"/>
  <c r="N53" i="4" s="1"/>
  <c r="N15" i="4"/>
  <c r="N55" i="4" s="1"/>
  <c r="N43" i="4"/>
  <c r="N107" i="4" s="1"/>
  <c r="N28" i="4"/>
  <c r="N68" i="4" s="1"/>
  <c r="N14" i="4"/>
  <c r="N54" i="4" s="1"/>
  <c r="N16" i="4"/>
  <c r="N56" i="4" s="1"/>
  <c r="N27" i="4"/>
  <c r="N67" i="4" s="1"/>
  <c r="N26" i="6"/>
  <c r="N70" i="6" s="1"/>
  <c r="N44" i="4"/>
  <c r="N108" i="4" s="1"/>
  <c r="N24" i="4"/>
  <c r="N64" i="4" s="1"/>
  <c r="O3" i="4"/>
  <c r="O16" i="4" s="1"/>
  <c r="O56" i="4" s="1"/>
  <c r="N17" i="4"/>
  <c r="N57" i="4" s="1"/>
  <c r="N21" i="4"/>
  <c r="N61" i="4" s="1"/>
  <c r="N39" i="4"/>
  <c r="N103" i="4" s="1"/>
  <c r="N20" i="6"/>
  <c r="N50" i="6" s="1"/>
  <c r="N22" i="6"/>
  <c r="N52" i="6" s="1"/>
  <c r="N18" i="6"/>
  <c r="N48" i="6" s="1"/>
  <c r="N33" i="6"/>
  <c r="N77" i="6" s="1"/>
  <c r="N27" i="6"/>
  <c r="N71" i="6" s="1"/>
  <c r="N28" i="6"/>
  <c r="N72" i="6" s="1"/>
  <c r="N32" i="6"/>
  <c r="N76" i="6" s="1"/>
  <c r="N14" i="6"/>
  <c r="N44" i="6" s="1"/>
  <c r="N31" i="6"/>
  <c r="N75" i="6" s="1"/>
  <c r="N15" i="6"/>
  <c r="N45" i="6" s="1"/>
  <c r="N29" i="6"/>
  <c r="N73" i="6" s="1"/>
  <c r="N38" i="4"/>
  <c r="N102" i="4" s="1"/>
  <c r="N40" i="4"/>
  <c r="N104" i="4" s="1"/>
  <c r="N16" i="6"/>
  <c r="N46" i="6" s="1"/>
  <c r="O5" i="1"/>
  <c r="O5" i="4" s="1"/>
  <c r="N21" i="3"/>
  <c r="N50" i="3" s="1"/>
  <c r="N41" i="4"/>
  <c r="N105" i="4" s="1"/>
  <c r="N31" i="4"/>
  <c r="N71" i="4" s="1"/>
  <c r="N5" i="12"/>
  <c r="N22" i="4"/>
  <c r="N62" i="4" s="1"/>
  <c r="N32" i="4"/>
  <c r="N72" i="4" s="1"/>
  <c r="N30" i="4"/>
  <c r="N70" i="4" s="1"/>
  <c r="N25" i="6"/>
  <c r="N69" i="6" s="1"/>
  <c r="N13" i="6"/>
  <c r="N43" i="6" s="1"/>
  <c r="N30" i="6"/>
  <c r="N74" i="6" s="1"/>
  <c r="N17" i="6"/>
  <c r="N47" i="6" s="1"/>
  <c r="N34" i="6"/>
  <c r="N78" i="6" s="1"/>
  <c r="N13" i="3"/>
  <c r="N33" i="3" s="1"/>
  <c r="N20" i="3"/>
  <c r="N49" i="3" s="1"/>
  <c r="P3" i="1"/>
  <c r="P3" i="12" s="1"/>
  <c r="N17" i="3"/>
  <c r="N37" i="3" s="1"/>
  <c r="O4" i="1"/>
  <c r="O4" i="6" s="1"/>
  <c r="N3" i="11"/>
  <c r="N24" i="3"/>
  <c r="N53" i="3" s="1"/>
  <c r="N15" i="3"/>
  <c r="N35" i="3" s="1"/>
  <c r="N4" i="6"/>
  <c r="N4" i="12"/>
  <c r="L38" i="6"/>
  <c r="K13" i="11" s="1"/>
  <c r="N4" i="3"/>
  <c r="M4" i="11"/>
  <c r="M68" i="6"/>
  <c r="M98" i="4"/>
  <c r="M52" i="4"/>
  <c r="M42" i="6"/>
  <c r="AX24" i="12"/>
  <c r="I10" i="11"/>
  <c r="I17" i="11" s="1"/>
  <c r="J13" i="11"/>
  <c r="K12" i="11"/>
  <c r="K11" i="11"/>
  <c r="J12" i="11"/>
  <c r="AX60" i="1"/>
  <c r="AX63" i="1"/>
  <c r="AX61" i="1"/>
  <c r="AX62" i="1"/>
  <c r="O31" i="6"/>
  <c r="O75" i="6" s="1"/>
  <c r="O34" i="6"/>
  <c r="O78" i="6" s="1"/>
  <c r="O30" i="6"/>
  <c r="O74" i="6" s="1"/>
  <c r="O33" i="6"/>
  <c r="O77" i="6" s="1"/>
  <c r="O29" i="6"/>
  <c r="O73" i="6" s="1"/>
  <c r="O32" i="6"/>
  <c r="O76" i="6" s="1"/>
  <c r="O28" i="6"/>
  <c r="O72" i="6" s="1"/>
  <c r="O22" i="6"/>
  <c r="O52" i="6" s="1"/>
  <c r="O27" i="6"/>
  <c r="O71" i="6" s="1"/>
  <c r="O26" i="6"/>
  <c r="O70" i="6" s="1"/>
  <c r="O21" i="6"/>
  <c r="O51" i="6" s="1"/>
  <c r="O17" i="6"/>
  <c r="O47" i="6" s="1"/>
  <c r="O20" i="6"/>
  <c r="O50" i="6" s="1"/>
  <c r="O19" i="6"/>
  <c r="O49" i="6" s="1"/>
  <c r="O25" i="6"/>
  <c r="O69" i="6" s="1"/>
  <c r="O16" i="6"/>
  <c r="O46" i="6" s="1"/>
  <c r="O14" i="6"/>
  <c r="O44" i="6" s="1"/>
  <c r="O18" i="6"/>
  <c r="O48" i="6" s="1"/>
  <c r="O13" i="6"/>
  <c r="O43" i="6" s="1"/>
  <c r="O15" i="6"/>
  <c r="O45" i="6" s="1"/>
  <c r="R90" i="6"/>
  <c r="R85" i="6"/>
  <c r="R87" i="6"/>
  <c r="R60" i="6"/>
  <c r="R81" i="6"/>
  <c r="R55" i="6"/>
  <c r="R88" i="6"/>
  <c r="R84" i="6"/>
  <c r="R83" i="6"/>
  <c r="R56" i="6"/>
  <c r="R63" i="6"/>
  <c r="R59" i="6"/>
  <c r="R86" i="6"/>
  <c r="R62" i="6"/>
  <c r="R61" i="6"/>
  <c r="R89" i="6"/>
  <c r="R57" i="6"/>
  <c r="R82" i="6"/>
  <c r="R58" i="6"/>
  <c r="R64" i="6"/>
  <c r="O43" i="4"/>
  <c r="O107" i="4" s="1"/>
  <c r="O39" i="4"/>
  <c r="O103" i="4" s="1"/>
  <c r="O42" i="4"/>
  <c r="O106" i="4" s="1"/>
  <c r="O30" i="4"/>
  <c r="O70" i="4" s="1"/>
  <c r="O26" i="4"/>
  <c r="O66" i="4" s="1"/>
  <c r="O18" i="4"/>
  <c r="O58" i="4" s="1"/>
  <c r="O41" i="4"/>
  <c r="O105" i="4" s="1"/>
  <c r="O38" i="4"/>
  <c r="O102" i="4" s="1"/>
  <c r="O28" i="4"/>
  <c r="O68" i="4" s="1"/>
  <c r="O24" i="4"/>
  <c r="O64" i="4" s="1"/>
  <c r="O20" i="4"/>
  <c r="O60" i="4" s="1"/>
  <c r="O40" i="4"/>
  <c r="O104" i="4" s="1"/>
  <c r="O37" i="4"/>
  <c r="O101" i="4" s="1"/>
  <c r="O32" i="4"/>
  <c r="O72" i="4" s="1"/>
  <c r="O19" i="4"/>
  <c r="O59" i="4" s="1"/>
  <c r="O13" i="4"/>
  <c r="O53" i="4" s="1"/>
  <c r="O17" i="4"/>
  <c r="O57" i="4" s="1"/>
  <c r="O44" i="4"/>
  <c r="O108" i="4" s="1"/>
  <c r="O35" i="4"/>
  <c r="O99" i="4" s="1"/>
  <c r="O25" i="4"/>
  <c r="O65" i="4" s="1"/>
  <c r="O31" i="4"/>
  <c r="O71" i="4" s="1"/>
  <c r="O23" i="4"/>
  <c r="O63" i="4" s="1"/>
  <c r="O15" i="4"/>
  <c r="O55" i="4" s="1"/>
  <c r="O29" i="4"/>
  <c r="O69" i="4" s="1"/>
  <c r="O21" i="4"/>
  <c r="O61" i="4" s="1"/>
  <c r="R89" i="4"/>
  <c r="Q116" i="4"/>
  <c r="R82" i="4"/>
  <c r="R81" i="4"/>
  <c r="S78" i="4"/>
  <c r="S84" i="4"/>
  <c r="S76" i="4"/>
  <c r="Q119" i="4"/>
  <c r="Q112" i="4"/>
  <c r="R87" i="4"/>
  <c r="R80" i="4"/>
  <c r="Q114" i="4"/>
  <c r="Q111" i="4"/>
  <c r="R77" i="4"/>
  <c r="Q115" i="4"/>
  <c r="Q118" i="4"/>
  <c r="Q120" i="4"/>
  <c r="S93" i="4"/>
  <c r="S83" i="4"/>
  <c r="R90" i="4"/>
  <c r="S85" i="4"/>
  <c r="R88" i="4"/>
  <c r="R92" i="4"/>
  <c r="R79" i="4"/>
  <c r="Q117" i="4"/>
  <c r="S91" i="4"/>
  <c r="Q113" i="4"/>
  <c r="R75" i="4"/>
  <c r="R86" i="4"/>
  <c r="R94" i="4"/>
  <c r="U43" i="3"/>
  <c r="U59" i="3"/>
  <c r="T44" i="3"/>
  <c r="V42" i="3"/>
  <c r="M32" i="3"/>
  <c r="M28" i="3" s="1"/>
  <c r="O24" i="3"/>
  <c r="O53" i="3" s="1"/>
  <c r="O22" i="3"/>
  <c r="O51" i="3" s="1"/>
  <c r="O20" i="3"/>
  <c r="O49" i="3" s="1"/>
  <c r="O17" i="3"/>
  <c r="O37" i="3" s="1"/>
  <c r="O23" i="3"/>
  <c r="O52" i="3" s="1"/>
  <c r="O13" i="3"/>
  <c r="O33" i="3" s="1"/>
  <c r="O21" i="3"/>
  <c r="O50" i="3" s="1"/>
  <c r="O16" i="3"/>
  <c r="O36" i="3" s="1"/>
  <c r="O15" i="3"/>
  <c r="O35" i="3" s="1"/>
  <c r="O14" i="3"/>
  <c r="O34" i="3" s="1"/>
  <c r="O5" i="6"/>
  <c r="AX227" i="1"/>
  <c r="AX225" i="1"/>
  <c r="AX223" i="1"/>
  <c r="AX221" i="1"/>
  <c r="AX226" i="1"/>
  <c r="AX224" i="1"/>
  <c r="AX219" i="1"/>
  <c r="AX218" i="1"/>
  <c r="AX222" i="1"/>
  <c r="AX220" i="1"/>
  <c r="AX201" i="1"/>
  <c r="AX195" i="1"/>
  <c r="AX200" i="1"/>
  <c r="AX199" i="1"/>
  <c r="AX198" i="1"/>
  <c r="AX197" i="1"/>
  <c r="AX194" i="1"/>
  <c r="AX193" i="1"/>
  <c r="AX192" i="1"/>
  <c r="AX196" i="1"/>
  <c r="AX137" i="1"/>
  <c r="AX136" i="1"/>
  <c r="AX135" i="1"/>
  <c r="AX134" i="1"/>
  <c r="AX131" i="1"/>
  <c r="AX129" i="1"/>
  <c r="AX128" i="1"/>
  <c r="T57" i="3"/>
  <c r="T40" i="3"/>
  <c r="T58" i="3"/>
  <c r="T60" i="3"/>
  <c r="P41" i="3"/>
  <c r="P56" i="3"/>
  <c r="AY23" i="12"/>
  <c r="AX110" i="1"/>
  <c r="AX108" i="1"/>
  <c r="AX106" i="1"/>
  <c r="AX111" i="1"/>
  <c r="AX109" i="1"/>
  <c r="AX107" i="1"/>
  <c r="AX103" i="1"/>
  <c r="AX100" i="1"/>
  <c r="AX98" i="1"/>
  <c r="AX96" i="1"/>
  <c r="AX101" i="1"/>
  <c r="AX105" i="1"/>
  <c r="AX102" i="1"/>
  <c r="AX104" i="1"/>
  <c r="AX99" i="1"/>
  <c r="O5" i="3"/>
  <c r="O27" i="4" l="1"/>
  <c r="O67" i="4" s="1"/>
  <c r="O36" i="4"/>
  <c r="O100" i="4" s="1"/>
  <c r="O22" i="4"/>
  <c r="O62" i="4" s="1"/>
  <c r="O14" i="4"/>
  <c r="O54" i="4" s="1"/>
  <c r="N5" i="11"/>
  <c r="O5" i="12"/>
  <c r="N98" i="4"/>
  <c r="N52" i="4"/>
  <c r="O3" i="11"/>
  <c r="N48" i="3"/>
  <c r="N42" i="6"/>
  <c r="N68" i="6"/>
  <c r="O4" i="12"/>
  <c r="P4" i="1"/>
  <c r="P4" i="6" s="1"/>
  <c r="P3" i="3"/>
  <c r="P16" i="3" s="1"/>
  <c r="P36" i="3" s="1"/>
  <c r="N4" i="11"/>
  <c r="P3" i="4"/>
  <c r="P32" i="4" s="1"/>
  <c r="P72" i="4" s="1"/>
  <c r="Q3" i="1"/>
  <c r="Q3" i="12" s="1"/>
  <c r="P3" i="6"/>
  <c r="P25" i="6" s="1"/>
  <c r="P69" i="6" s="1"/>
  <c r="P5" i="1"/>
  <c r="P5" i="12" s="1"/>
  <c r="O4" i="3"/>
  <c r="O4" i="4"/>
  <c r="M48" i="4"/>
  <c r="L12" i="11" s="1"/>
  <c r="M38" i="6"/>
  <c r="L13" i="11" s="1"/>
  <c r="AY24" i="12"/>
  <c r="K10" i="11"/>
  <c r="J10" i="11"/>
  <c r="L11" i="11"/>
  <c r="AY63" i="1"/>
  <c r="AY62" i="1"/>
  <c r="AY60" i="1"/>
  <c r="AY61" i="1"/>
  <c r="O68" i="6"/>
  <c r="O42" i="6"/>
  <c r="S64" i="6"/>
  <c r="S82" i="6"/>
  <c r="S89" i="6"/>
  <c r="S62" i="6"/>
  <c r="S59" i="6"/>
  <c r="S56" i="6"/>
  <c r="S84" i="6"/>
  <c r="S55" i="6"/>
  <c r="S60" i="6"/>
  <c r="S85" i="6"/>
  <c r="S58" i="6"/>
  <c r="S57" i="6"/>
  <c r="S61" i="6"/>
  <c r="S86" i="6"/>
  <c r="S63" i="6"/>
  <c r="S83" i="6"/>
  <c r="S88" i="6"/>
  <c r="S81" i="6"/>
  <c r="S87" i="6"/>
  <c r="S90" i="6"/>
  <c r="O98" i="4"/>
  <c r="S94" i="4"/>
  <c r="S75" i="4"/>
  <c r="T91" i="4"/>
  <c r="S79" i="4"/>
  <c r="S88" i="4"/>
  <c r="S90" i="4"/>
  <c r="T93" i="4"/>
  <c r="R111" i="4"/>
  <c r="S80" i="4"/>
  <c r="O52" i="4"/>
  <c r="P37" i="4"/>
  <c r="P101" i="4" s="1"/>
  <c r="P36" i="4"/>
  <c r="P100" i="4" s="1"/>
  <c r="P26" i="4"/>
  <c r="P66" i="4" s="1"/>
  <c r="R118" i="4"/>
  <c r="R112" i="4"/>
  <c r="T76" i="4"/>
  <c r="T78" i="4"/>
  <c r="S82" i="4"/>
  <c r="S89" i="4"/>
  <c r="S86" i="4"/>
  <c r="R113" i="4"/>
  <c r="R117" i="4"/>
  <c r="S92" i="4"/>
  <c r="T85" i="4"/>
  <c r="T83" i="4"/>
  <c r="R120" i="4"/>
  <c r="S77" i="4"/>
  <c r="R114" i="4"/>
  <c r="R115" i="4"/>
  <c r="S87" i="4"/>
  <c r="R119" i="4"/>
  <c r="T84" i="4"/>
  <c r="S81" i="4"/>
  <c r="R116" i="4"/>
  <c r="N32" i="3"/>
  <c r="V59" i="3"/>
  <c r="V43" i="3"/>
  <c r="W42" i="3"/>
  <c r="U44" i="3"/>
  <c r="O32" i="3"/>
  <c r="AY226" i="1"/>
  <c r="AY225" i="1"/>
  <c r="AY224" i="1"/>
  <c r="AY227" i="1"/>
  <c r="AY223" i="1"/>
  <c r="AY222" i="1"/>
  <c r="AY219" i="1"/>
  <c r="AY218" i="1"/>
  <c r="AY220" i="1"/>
  <c r="AY221" i="1"/>
  <c r="AY200" i="1"/>
  <c r="AY199" i="1"/>
  <c r="AY198" i="1"/>
  <c r="AY194" i="1"/>
  <c r="AY201" i="1"/>
  <c r="AY197" i="1"/>
  <c r="AY196" i="1"/>
  <c r="AY193" i="1"/>
  <c r="AY192" i="1"/>
  <c r="AY195" i="1"/>
  <c r="AY136" i="1"/>
  <c r="AY135" i="1"/>
  <c r="AY134" i="1"/>
  <c r="AY137" i="1"/>
  <c r="AY131" i="1"/>
  <c r="AY129" i="1"/>
  <c r="AY128" i="1"/>
  <c r="Q41" i="3"/>
  <c r="O48" i="3"/>
  <c r="U40" i="3"/>
  <c r="Q56" i="3"/>
  <c r="U60" i="3"/>
  <c r="U58" i="3"/>
  <c r="U57" i="3"/>
  <c r="AZ23" i="12"/>
  <c r="AY106" i="1"/>
  <c r="AY111" i="1"/>
  <c r="AY109" i="1"/>
  <c r="AY107" i="1"/>
  <c r="AY105" i="1"/>
  <c r="AY104" i="1"/>
  <c r="AY103" i="1"/>
  <c r="AY101" i="1"/>
  <c r="AY110" i="1"/>
  <c r="AY102" i="1"/>
  <c r="AY108" i="1"/>
  <c r="AY99" i="1"/>
  <c r="AY96" i="1"/>
  <c r="AY100" i="1"/>
  <c r="AY98" i="1"/>
  <c r="P18" i="4" l="1"/>
  <c r="P58" i="4" s="1"/>
  <c r="P16" i="4"/>
  <c r="P56" i="4" s="1"/>
  <c r="P43" i="4"/>
  <c r="P107" i="4" s="1"/>
  <c r="P17" i="4"/>
  <c r="P57" i="4" s="1"/>
  <c r="N28" i="3"/>
  <c r="P20" i="3"/>
  <c r="P49" i="3" s="1"/>
  <c r="P20" i="4"/>
  <c r="P60" i="4" s="1"/>
  <c r="P24" i="3"/>
  <c r="P53" i="3" s="1"/>
  <c r="N48" i="4"/>
  <c r="M12" i="11" s="1"/>
  <c r="P39" i="4"/>
  <c r="P103" i="4" s="1"/>
  <c r="P40" i="4"/>
  <c r="P104" i="4" s="1"/>
  <c r="P21" i="4"/>
  <c r="P61" i="4" s="1"/>
  <c r="P21" i="3"/>
  <c r="P50" i="3" s="1"/>
  <c r="P18" i="6"/>
  <c r="P48" i="6" s="1"/>
  <c r="P19" i="6"/>
  <c r="P49" i="6" s="1"/>
  <c r="P28" i="6"/>
  <c r="P72" i="6" s="1"/>
  <c r="P26" i="6"/>
  <c r="P70" i="6" s="1"/>
  <c r="P14" i="4"/>
  <c r="P54" i="4" s="1"/>
  <c r="Q3" i="6"/>
  <c r="Q22" i="6" s="1"/>
  <c r="Q52" i="6" s="1"/>
  <c r="P25" i="4"/>
  <c r="P65" i="4" s="1"/>
  <c r="P5" i="3"/>
  <c r="P5" i="6"/>
  <c r="P29" i="4"/>
  <c r="P69" i="4" s="1"/>
  <c r="P32" i="6"/>
  <c r="P76" i="6" s="1"/>
  <c r="Q5" i="1"/>
  <c r="Q5" i="12" s="1"/>
  <c r="P5" i="4"/>
  <c r="P15" i="4"/>
  <c r="P55" i="4" s="1"/>
  <c r="P35" i="4"/>
  <c r="P99" i="4" s="1"/>
  <c r="P33" i="6"/>
  <c r="P77" i="6" s="1"/>
  <c r="Q3" i="3"/>
  <c r="Q20" i="3" s="1"/>
  <c r="Q49" i="3" s="1"/>
  <c r="P23" i="3"/>
  <c r="P52" i="3" s="1"/>
  <c r="P22" i="4"/>
  <c r="P62" i="4" s="1"/>
  <c r="P44" i="4"/>
  <c r="P108" i="4" s="1"/>
  <c r="P30" i="6"/>
  <c r="P74" i="6" s="1"/>
  <c r="P34" i="6"/>
  <c r="P78" i="6" s="1"/>
  <c r="P19" i="4"/>
  <c r="P59" i="4" s="1"/>
  <c r="P27" i="6"/>
  <c r="P71" i="6" s="1"/>
  <c r="O5" i="11"/>
  <c r="P29" i="6"/>
  <c r="P73" i="6" s="1"/>
  <c r="Q3" i="4"/>
  <c r="Q44" i="4" s="1"/>
  <c r="Q108" i="4" s="1"/>
  <c r="P31" i="6"/>
  <c r="P75" i="6" s="1"/>
  <c r="P28" i="4"/>
  <c r="P68" i="4" s="1"/>
  <c r="P38" i="4"/>
  <c r="P102" i="4" s="1"/>
  <c r="R3" i="1"/>
  <c r="R3" i="4" s="1"/>
  <c r="P22" i="3"/>
  <c r="P51" i="3" s="1"/>
  <c r="P30" i="4"/>
  <c r="P70" i="4" s="1"/>
  <c r="P41" i="4"/>
  <c r="P105" i="4" s="1"/>
  <c r="P13" i="3"/>
  <c r="P33" i="3" s="1"/>
  <c r="P42" i="4"/>
  <c r="P106" i="4" s="1"/>
  <c r="P15" i="6"/>
  <c r="P45" i="6" s="1"/>
  <c r="P3" i="11"/>
  <c r="P14" i="3"/>
  <c r="P34" i="3" s="1"/>
  <c r="P23" i="4"/>
  <c r="P63" i="4" s="1"/>
  <c r="P14" i="6"/>
  <c r="P44" i="6" s="1"/>
  <c r="P17" i="3"/>
  <c r="P37" i="3" s="1"/>
  <c r="P27" i="4"/>
  <c r="P67" i="4" s="1"/>
  <c r="P17" i="6"/>
  <c r="P47" i="6" s="1"/>
  <c r="P15" i="3"/>
  <c r="P35" i="3" s="1"/>
  <c r="P13" i="4"/>
  <c r="P53" i="4" s="1"/>
  <c r="P31" i="4"/>
  <c r="P71" i="4" s="1"/>
  <c r="P21" i="6"/>
  <c r="P51" i="6" s="1"/>
  <c r="P24" i="4"/>
  <c r="P64" i="4" s="1"/>
  <c r="P13" i="6"/>
  <c r="P43" i="6" s="1"/>
  <c r="O4" i="11"/>
  <c r="P4" i="12"/>
  <c r="J17" i="11"/>
  <c r="K17" i="11" s="1"/>
  <c r="N38" i="6"/>
  <c r="M13" i="11" s="1"/>
  <c r="P4" i="4"/>
  <c r="P22" i="6"/>
  <c r="P52" i="6" s="1"/>
  <c r="Q4" i="1"/>
  <c r="Q4" i="6" s="1"/>
  <c r="P16" i="6"/>
  <c r="P46" i="6" s="1"/>
  <c r="P4" i="3"/>
  <c r="P20" i="6"/>
  <c r="P50" i="6" s="1"/>
  <c r="R3" i="12"/>
  <c r="AZ24" i="12"/>
  <c r="L10" i="11"/>
  <c r="M11" i="11"/>
  <c r="AZ62" i="1"/>
  <c r="AZ61" i="1"/>
  <c r="AZ60" i="1"/>
  <c r="AZ63" i="1"/>
  <c r="O48" i="4"/>
  <c r="O38" i="6"/>
  <c r="T90" i="6"/>
  <c r="T81" i="6"/>
  <c r="T83" i="6"/>
  <c r="T86" i="6"/>
  <c r="T57" i="6"/>
  <c r="T85" i="6"/>
  <c r="T55" i="6"/>
  <c r="T56" i="6"/>
  <c r="T62" i="6"/>
  <c r="T82" i="6"/>
  <c r="T87" i="6"/>
  <c r="T88" i="6"/>
  <c r="T63" i="6"/>
  <c r="T61" i="6"/>
  <c r="T58" i="6"/>
  <c r="T60" i="6"/>
  <c r="T84" i="6"/>
  <c r="T59" i="6"/>
  <c r="T89" i="6"/>
  <c r="T64" i="6"/>
  <c r="T81" i="4"/>
  <c r="S119" i="4"/>
  <c r="S115" i="4"/>
  <c r="T77" i="4"/>
  <c r="U83" i="4"/>
  <c r="T92" i="4"/>
  <c r="S113" i="4"/>
  <c r="Q18" i="4"/>
  <c r="Q58" i="4" s="1"/>
  <c r="Q42" i="4"/>
  <c r="Q106" i="4" s="1"/>
  <c r="Q35" i="4"/>
  <c r="Q99" i="4" s="1"/>
  <c r="Q25" i="4"/>
  <c r="Q65" i="4" s="1"/>
  <c r="Q19" i="4"/>
  <c r="Q59" i="4" s="1"/>
  <c r="Q29" i="4"/>
  <c r="Q69" i="4" s="1"/>
  <c r="Q39" i="4"/>
  <c r="Q103" i="4" s="1"/>
  <c r="Q37" i="4"/>
  <c r="Q101" i="4" s="1"/>
  <c r="Q32" i="4"/>
  <c r="Q72" i="4" s="1"/>
  <c r="T89" i="4"/>
  <c r="U78" i="4"/>
  <c r="S112" i="4"/>
  <c r="T80" i="4"/>
  <c r="U93" i="4"/>
  <c r="T88" i="4"/>
  <c r="U91" i="4"/>
  <c r="T94" i="4"/>
  <c r="S116" i="4"/>
  <c r="U84" i="4"/>
  <c r="T87" i="4"/>
  <c r="S114" i="4"/>
  <c r="S120" i="4"/>
  <c r="U85" i="4"/>
  <c r="S117" i="4"/>
  <c r="T86" i="4"/>
  <c r="T82" i="4"/>
  <c r="U76" i="4"/>
  <c r="S118" i="4"/>
  <c r="S111" i="4"/>
  <c r="T90" i="4"/>
  <c r="T79" i="4"/>
  <c r="T75" i="4"/>
  <c r="W43" i="3"/>
  <c r="W59" i="3"/>
  <c r="V44" i="3"/>
  <c r="X42" i="3"/>
  <c r="Q17" i="3"/>
  <c r="Q37" i="3" s="1"/>
  <c r="AZ226" i="1"/>
  <c r="AZ224" i="1"/>
  <c r="AZ222" i="1"/>
  <c r="AZ227" i="1"/>
  <c r="AZ223" i="1"/>
  <c r="AZ221" i="1"/>
  <c r="AZ225" i="1"/>
  <c r="AZ220" i="1"/>
  <c r="AZ219" i="1"/>
  <c r="AZ218" i="1"/>
  <c r="AZ199" i="1"/>
  <c r="AZ201" i="1"/>
  <c r="AZ200" i="1"/>
  <c r="AZ197" i="1"/>
  <c r="AZ193" i="1"/>
  <c r="AZ195" i="1"/>
  <c r="AZ194" i="1"/>
  <c r="AZ196" i="1"/>
  <c r="AZ198" i="1"/>
  <c r="AZ192" i="1"/>
  <c r="AZ137" i="1"/>
  <c r="AZ136" i="1"/>
  <c r="AZ131" i="1"/>
  <c r="AZ128" i="1"/>
  <c r="AZ135" i="1"/>
  <c r="AZ129" i="1"/>
  <c r="AZ134" i="1"/>
  <c r="V57" i="3"/>
  <c r="V58" i="3"/>
  <c r="O28" i="3"/>
  <c r="R41" i="3"/>
  <c r="R56" i="3"/>
  <c r="V60" i="3"/>
  <c r="V40" i="3"/>
  <c r="BA23" i="12"/>
  <c r="AZ111" i="1"/>
  <c r="AZ110" i="1"/>
  <c r="AZ109" i="1"/>
  <c r="AZ108" i="1"/>
  <c r="AZ107" i="1"/>
  <c r="AZ105" i="1"/>
  <c r="AZ104" i="1"/>
  <c r="AZ103" i="1"/>
  <c r="AZ102" i="1"/>
  <c r="AZ106" i="1"/>
  <c r="AZ99" i="1"/>
  <c r="AZ100" i="1"/>
  <c r="AZ98" i="1"/>
  <c r="AZ96" i="1"/>
  <c r="AZ101" i="1"/>
  <c r="R5" i="1"/>
  <c r="Q5" i="3"/>
  <c r="S3" i="1"/>
  <c r="Q27" i="6" l="1"/>
  <c r="Q71" i="6" s="1"/>
  <c r="Q16" i="3"/>
  <c r="Q36" i="3" s="1"/>
  <c r="Q23" i="4"/>
  <c r="Q63" i="4" s="1"/>
  <c r="Q21" i="3"/>
  <c r="Q50" i="3" s="1"/>
  <c r="Q22" i="3"/>
  <c r="Q51" i="3" s="1"/>
  <c r="Q17" i="4"/>
  <c r="Q57" i="4" s="1"/>
  <c r="Q23" i="3"/>
  <c r="Q52" i="3" s="1"/>
  <c r="Q18" i="6"/>
  <c r="Q48" i="6" s="1"/>
  <c r="Q34" i="6"/>
  <c r="Q78" i="6" s="1"/>
  <c r="Q28" i="6"/>
  <c r="Q72" i="6" s="1"/>
  <c r="Q26" i="6"/>
  <c r="Q70" i="6" s="1"/>
  <c r="Q31" i="6"/>
  <c r="Q75" i="6" s="1"/>
  <c r="Q32" i="6"/>
  <c r="Q76" i="6" s="1"/>
  <c r="Q29" i="6"/>
  <c r="Q73" i="6" s="1"/>
  <c r="Q19" i="6"/>
  <c r="Q49" i="6" s="1"/>
  <c r="Q30" i="6"/>
  <c r="Q74" i="6" s="1"/>
  <c r="Q33" i="6"/>
  <c r="Q77" i="6" s="1"/>
  <c r="Q14" i="6"/>
  <c r="Q44" i="6" s="1"/>
  <c r="Q20" i="6"/>
  <c r="Q50" i="6" s="1"/>
  <c r="Q16" i="6"/>
  <c r="Q46" i="6" s="1"/>
  <c r="Q17" i="6"/>
  <c r="Q47" i="6" s="1"/>
  <c r="Q22" i="4"/>
  <c r="Q62" i="4" s="1"/>
  <c r="Q25" i="6"/>
  <c r="Q69" i="6" s="1"/>
  <c r="Q15" i="4"/>
  <c r="Q55" i="4" s="1"/>
  <c r="Q4" i="3"/>
  <c r="Q24" i="4"/>
  <c r="Q64" i="4" s="1"/>
  <c r="Q5" i="6"/>
  <c r="Q28" i="4"/>
  <c r="Q68" i="4" s="1"/>
  <c r="P5" i="11"/>
  <c r="Q5" i="4"/>
  <c r="Q41" i="4"/>
  <c r="Q105" i="4" s="1"/>
  <c r="Q21" i="6"/>
  <c r="Q51" i="6" s="1"/>
  <c r="Q27" i="4"/>
  <c r="Q67" i="4" s="1"/>
  <c r="Q43" i="4"/>
  <c r="Q107" i="4" s="1"/>
  <c r="Q15" i="6"/>
  <c r="Q45" i="6" s="1"/>
  <c r="Q3" i="11"/>
  <c r="Q13" i="6"/>
  <c r="Q43" i="6" s="1"/>
  <c r="R4" i="1"/>
  <c r="R4" i="3" s="1"/>
  <c r="P48" i="3"/>
  <c r="P98" i="4"/>
  <c r="P42" i="6"/>
  <c r="P68" i="6"/>
  <c r="P32" i="3"/>
  <c r="P52" i="4"/>
  <c r="Q40" i="4"/>
  <c r="Q104" i="4" s="1"/>
  <c r="Q26" i="4"/>
  <c r="Q66" i="4" s="1"/>
  <c r="Q13" i="4"/>
  <c r="Q53" i="4" s="1"/>
  <c r="Q30" i="4"/>
  <c r="Q70" i="4" s="1"/>
  <c r="R3" i="6"/>
  <c r="R18" i="6" s="1"/>
  <c r="R48" i="6" s="1"/>
  <c r="Q16" i="4"/>
  <c r="Q56" i="4" s="1"/>
  <c r="Q36" i="4"/>
  <c r="Q100" i="4" s="1"/>
  <c r="R3" i="3"/>
  <c r="R21" i="3" s="1"/>
  <c r="R50" i="3" s="1"/>
  <c r="Q21" i="4"/>
  <c r="Q61" i="4" s="1"/>
  <c r="Q20" i="4"/>
  <c r="Q60" i="4" s="1"/>
  <c r="Q13" i="3"/>
  <c r="Q33" i="3" s="1"/>
  <c r="Q31" i="4"/>
  <c r="Q71" i="4" s="1"/>
  <c r="Q38" i="4"/>
  <c r="Q102" i="4" s="1"/>
  <c r="Q24" i="3"/>
  <c r="Q53" i="3" s="1"/>
  <c r="Q48" i="3" s="1"/>
  <c r="Q14" i="3"/>
  <c r="Q34" i="3" s="1"/>
  <c r="Q15" i="3"/>
  <c r="Q35" i="3" s="1"/>
  <c r="Q14" i="4"/>
  <c r="Q54" i="4" s="1"/>
  <c r="Q4" i="4"/>
  <c r="P4" i="11"/>
  <c r="Q4" i="12"/>
  <c r="L17" i="11"/>
  <c r="R5" i="12"/>
  <c r="Q5" i="11"/>
  <c r="S3" i="12"/>
  <c r="S4" i="1"/>
  <c r="R3" i="11"/>
  <c r="BA24" i="12"/>
  <c r="M10" i="11"/>
  <c r="N11" i="11"/>
  <c r="N13" i="11"/>
  <c r="N12" i="11"/>
  <c r="BA61" i="1"/>
  <c r="BA60" i="1"/>
  <c r="BA62" i="1"/>
  <c r="BA63" i="1"/>
  <c r="U64" i="6"/>
  <c r="U59" i="6"/>
  <c r="U60" i="6"/>
  <c r="U61" i="6"/>
  <c r="U88" i="6"/>
  <c r="U82" i="6"/>
  <c r="U56" i="6"/>
  <c r="U85" i="6"/>
  <c r="U86" i="6"/>
  <c r="U81" i="6"/>
  <c r="U89" i="6"/>
  <c r="U84" i="6"/>
  <c r="U58" i="6"/>
  <c r="U63" i="6"/>
  <c r="U87" i="6"/>
  <c r="U62" i="6"/>
  <c r="U55" i="6"/>
  <c r="U57" i="6"/>
  <c r="U83" i="6"/>
  <c r="U90" i="6"/>
  <c r="U94" i="4"/>
  <c r="U88" i="4"/>
  <c r="U80" i="4"/>
  <c r="V91" i="4"/>
  <c r="V93" i="4"/>
  <c r="T112" i="4"/>
  <c r="U89" i="4"/>
  <c r="T113" i="4"/>
  <c r="V83" i="4"/>
  <c r="T115" i="4"/>
  <c r="U81" i="4"/>
  <c r="V78" i="4"/>
  <c r="U92" i="4"/>
  <c r="U77" i="4"/>
  <c r="T119" i="4"/>
  <c r="U75" i="4"/>
  <c r="U90" i="4"/>
  <c r="T118" i="4"/>
  <c r="U82" i="4"/>
  <c r="T117" i="4"/>
  <c r="T120" i="4"/>
  <c r="U87" i="4"/>
  <c r="T116" i="4"/>
  <c r="R44" i="4"/>
  <c r="R108" i="4" s="1"/>
  <c r="R40" i="4"/>
  <c r="R104" i="4" s="1"/>
  <c r="R43" i="4"/>
  <c r="R107" i="4" s="1"/>
  <c r="R39" i="4"/>
  <c r="R103" i="4" s="1"/>
  <c r="R37" i="4"/>
  <c r="R101" i="4" s="1"/>
  <c r="R32" i="4"/>
  <c r="R72" i="4" s="1"/>
  <c r="R31" i="4"/>
  <c r="R71" i="4" s="1"/>
  <c r="R27" i="4"/>
  <c r="R67" i="4" s="1"/>
  <c r="R23" i="4"/>
  <c r="R63" i="4" s="1"/>
  <c r="R19" i="4"/>
  <c r="R59" i="4" s="1"/>
  <c r="R42" i="4"/>
  <c r="R106" i="4" s="1"/>
  <c r="R35" i="4"/>
  <c r="R99" i="4" s="1"/>
  <c r="R29" i="4"/>
  <c r="R69" i="4" s="1"/>
  <c r="R25" i="4"/>
  <c r="R65" i="4" s="1"/>
  <c r="R21" i="4"/>
  <c r="R61" i="4" s="1"/>
  <c r="R17" i="4"/>
  <c r="R57" i="4" s="1"/>
  <c r="R38" i="4"/>
  <c r="R102" i="4" s="1"/>
  <c r="R28" i="4"/>
  <c r="R68" i="4" s="1"/>
  <c r="R20" i="4"/>
  <c r="R60" i="4" s="1"/>
  <c r="R14" i="4"/>
  <c r="R54" i="4" s="1"/>
  <c r="R13" i="4"/>
  <c r="R53" i="4" s="1"/>
  <c r="R15" i="4"/>
  <c r="R55" i="4" s="1"/>
  <c r="R41" i="4"/>
  <c r="R105" i="4" s="1"/>
  <c r="R36" i="4"/>
  <c r="R100" i="4" s="1"/>
  <c r="R26" i="4"/>
  <c r="R66" i="4" s="1"/>
  <c r="R18" i="4"/>
  <c r="R58" i="4" s="1"/>
  <c r="R16" i="4"/>
  <c r="R56" i="4" s="1"/>
  <c r="R24" i="4"/>
  <c r="R64" i="4" s="1"/>
  <c r="R30" i="4"/>
  <c r="R70" i="4" s="1"/>
  <c r="R22" i="4"/>
  <c r="R62" i="4" s="1"/>
  <c r="U79" i="4"/>
  <c r="T111" i="4"/>
  <c r="V76" i="4"/>
  <c r="U86" i="4"/>
  <c r="V85" i="4"/>
  <c r="T114" i="4"/>
  <c r="V84" i="4"/>
  <c r="X59" i="3"/>
  <c r="X43" i="3"/>
  <c r="Y42" i="3"/>
  <c r="W44" i="3"/>
  <c r="S3" i="4"/>
  <c r="S3" i="6"/>
  <c r="R5" i="6"/>
  <c r="R5" i="4"/>
  <c r="BA227" i="1"/>
  <c r="BA225" i="1"/>
  <c r="BA226" i="1"/>
  <c r="BA222" i="1"/>
  <c r="BA221" i="1"/>
  <c r="BA220" i="1"/>
  <c r="BA223" i="1"/>
  <c r="BA219" i="1"/>
  <c r="BA218" i="1"/>
  <c r="BA224" i="1"/>
  <c r="BA196" i="1"/>
  <c r="BA192" i="1"/>
  <c r="BA198" i="1"/>
  <c r="BA197" i="1"/>
  <c r="BA195" i="1"/>
  <c r="BA194" i="1"/>
  <c r="BA193" i="1"/>
  <c r="BA201" i="1"/>
  <c r="BA199" i="1"/>
  <c r="BA200" i="1"/>
  <c r="BA137" i="1"/>
  <c r="BA136" i="1"/>
  <c r="BA135" i="1"/>
  <c r="BA134" i="1"/>
  <c r="BA131" i="1"/>
  <c r="BA129" i="1"/>
  <c r="BA128" i="1"/>
  <c r="W40" i="3"/>
  <c r="S56" i="3"/>
  <c r="S41" i="3"/>
  <c r="W57" i="3"/>
  <c r="W60" i="3"/>
  <c r="W58" i="3"/>
  <c r="BB23" i="12"/>
  <c r="BA111" i="1"/>
  <c r="BA110" i="1"/>
  <c r="BA109" i="1"/>
  <c r="BA108" i="1"/>
  <c r="BA107" i="1"/>
  <c r="BA106" i="1"/>
  <c r="BA105" i="1"/>
  <c r="BA104" i="1"/>
  <c r="BA103" i="1"/>
  <c r="BA102" i="1"/>
  <c r="BA101" i="1"/>
  <c r="BA100" i="1"/>
  <c r="BA99" i="1"/>
  <c r="BA98" i="1"/>
  <c r="BA96" i="1"/>
  <c r="T3" i="1"/>
  <c r="S3" i="3"/>
  <c r="S5" i="1"/>
  <c r="R5" i="3"/>
  <c r="R27" i="6" l="1"/>
  <c r="R71" i="6" s="1"/>
  <c r="R22" i="6"/>
  <c r="R52" i="6" s="1"/>
  <c r="R33" i="6"/>
  <c r="R77" i="6" s="1"/>
  <c r="R28" i="6"/>
  <c r="R72" i="6" s="1"/>
  <c r="R25" i="6"/>
  <c r="R69" i="6" s="1"/>
  <c r="Q68" i="6"/>
  <c r="P38" i="6"/>
  <c r="O13" i="11" s="1"/>
  <c r="R4" i="6"/>
  <c r="R4" i="12"/>
  <c r="P48" i="4"/>
  <c r="O12" i="11" s="1"/>
  <c r="Q42" i="6"/>
  <c r="R4" i="4"/>
  <c r="R15" i="6"/>
  <c r="R45" i="6" s="1"/>
  <c r="R17" i="6"/>
  <c r="R47" i="6" s="1"/>
  <c r="R24" i="3"/>
  <c r="R53" i="3" s="1"/>
  <c r="R29" i="6"/>
  <c r="R73" i="6" s="1"/>
  <c r="R30" i="6"/>
  <c r="R74" i="6" s="1"/>
  <c r="R13" i="3"/>
  <c r="R33" i="3" s="1"/>
  <c r="R34" i="6"/>
  <c r="R78" i="6" s="1"/>
  <c r="R31" i="6"/>
  <c r="R75" i="6" s="1"/>
  <c r="R32" i="6"/>
  <c r="R76" i="6" s="1"/>
  <c r="P28" i="3"/>
  <c r="O11" i="11" s="1"/>
  <c r="R17" i="3"/>
  <c r="R37" i="3" s="1"/>
  <c r="R13" i="6"/>
  <c r="R43" i="6" s="1"/>
  <c r="Q4" i="11"/>
  <c r="R14" i="6"/>
  <c r="R44" i="6" s="1"/>
  <c r="R19" i="6"/>
  <c r="R49" i="6" s="1"/>
  <c r="R14" i="3"/>
  <c r="R34" i="3" s="1"/>
  <c r="R23" i="3"/>
  <c r="R52" i="3" s="1"/>
  <c r="Q52" i="4"/>
  <c r="R26" i="6"/>
  <c r="R70" i="6" s="1"/>
  <c r="R16" i="6"/>
  <c r="R46" i="6" s="1"/>
  <c r="R20" i="6"/>
  <c r="R50" i="6" s="1"/>
  <c r="Q98" i="4"/>
  <c r="R21" i="6"/>
  <c r="R51" i="6" s="1"/>
  <c r="R22" i="3"/>
  <c r="R51" i="3" s="1"/>
  <c r="R15" i="3"/>
  <c r="R35" i="3" s="1"/>
  <c r="Q32" i="3"/>
  <c r="Q28" i="3" s="1"/>
  <c r="R16" i="3"/>
  <c r="R36" i="3" s="1"/>
  <c r="R20" i="3"/>
  <c r="R49" i="3" s="1"/>
  <c r="M17" i="11"/>
  <c r="T3" i="12"/>
  <c r="T4" i="1"/>
  <c r="S3" i="11"/>
  <c r="S5" i="12"/>
  <c r="R5" i="11"/>
  <c r="S4" i="12"/>
  <c r="R4" i="11"/>
  <c r="S4" i="6"/>
  <c r="S4" i="4"/>
  <c r="S4" i="3"/>
  <c r="N10" i="11"/>
  <c r="BB24" i="12"/>
  <c r="BB60" i="1"/>
  <c r="BB63" i="1"/>
  <c r="BB62" i="1"/>
  <c r="BB61" i="1"/>
  <c r="S31" i="6"/>
  <c r="S75" i="6" s="1"/>
  <c r="S34" i="6"/>
  <c r="S78" i="6" s="1"/>
  <c r="S30" i="6"/>
  <c r="S74" i="6" s="1"/>
  <c r="S33" i="6"/>
  <c r="S77" i="6" s="1"/>
  <c r="S29" i="6"/>
  <c r="S73" i="6" s="1"/>
  <c r="S28" i="6"/>
  <c r="S72" i="6" s="1"/>
  <c r="S22" i="6"/>
  <c r="S52" i="6" s="1"/>
  <c r="S27" i="6"/>
  <c r="S71" i="6" s="1"/>
  <c r="S26" i="6"/>
  <c r="S70" i="6" s="1"/>
  <c r="S21" i="6"/>
  <c r="S51" i="6" s="1"/>
  <c r="S17" i="6"/>
  <c r="S47" i="6" s="1"/>
  <c r="S25" i="6"/>
  <c r="S69" i="6" s="1"/>
  <c r="S20" i="6"/>
  <c r="S50" i="6" s="1"/>
  <c r="S19" i="6"/>
  <c r="S49" i="6" s="1"/>
  <c r="S32" i="6"/>
  <c r="S76" i="6" s="1"/>
  <c r="S18" i="6"/>
  <c r="S48" i="6" s="1"/>
  <c r="S14" i="6"/>
  <c r="S44" i="6" s="1"/>
  <c r="S13" i="6"/>
  <c r="S43" i="6" s="1"/>
  <c r="S15" i="6"/>
  <c r="S45" i="6" s="1"/>
  <c r="S16" i="6"/>
  <c r="S46" i="6" s="1"/>
  <c r="V57" i="6"/>
  <c r="V63" i="6"/>
  <c r="V81" i="6"/>
  <c r="V82" i="6"/>
  <c r="V61" i="6"/>
  <c r="V90" i="6"/>
  <c r="V62" i="6"/>
  <c r="V84" i="6"/>
  <c r="V85" i="6"/>
  <c r="V59" i="6"/>
  <c r="V83" i="6"/>
  <c r="V55" i="6"/>
  <c r="V87" i="6"/>
  <c r="V58" i="6"/>
  <c r="V89" i="6"/>
  <c r="V86" i="6"/>
  <c r="V56" i="6"/>
  <c r="V88" i="6"/>
  <c r="V60" i="6"/>
  <c r="V64" i="6"/>
  <c r="R98" i="4"/>
  <c r="U120" i="4"/>
  <c r="S43" i="4"/>
  <c r="S107" i="4" s="1"/>
  <c r="S39" i="4"/>
  <c r="S103" i="4" s="1"/>
  <c r="S42" i="4"/>
  <c r="S106" i="4" s="1"/>
  <c r="S44" i="4"/>
  <c r="S108" i="4" s="1"/>
  <c r="S41" i="4"/>
  <c r="S105" i="4" s="1"/>
  <c r="S40" i="4"/>
  <c r="S104" i="4" s="1"/>
  <c r="S36" i="4"/>
  <c r="S100" i="4" s="1"/>
  <c r="S30" i="4"/>
  <c r="S70" i="4" s="1"/>
  <c r="S26" i="4"/>
  <c r="S66" i="4" s="1"/>
  <c r="S22" i="4"/>
  <c r="S62" i="4" s="1"/>
  <c r="S18" i="4"/>
  <c r="S58" i="4" s="1"/>
  <c r="S38" i="4"/>
  <c r="S102" i="4" s="1"/>
  <c r="S28" i="4"/>
  <c r="S68" i="4" s="1"/>
  <c r="S24" i="4"/>
  <c r="S64" i="4" s="1"/>
  <c r="S20" i="4"/>
  <c r="S60" i="4" s="1"/>
  <c r="S16" i="4"/>
  <c r="S56" i="4" s="1"/>
  <c r="S31" i="4"/>
  <c r="S71" i="4" s="1"/>
  <c r="S23" i="4"/>
  <c r="S63" i="4" s="1"/>
  <c r="S13" i="4"/>
  <c r="S53" i="4" s="1"/>
  <c r="S14" i="4"/>
  <c r="S54" i="4" s="1"/>
  <c r="S29" i="4"/>
  <c r="S69" i="4" s="1"/>
  <c r="S21" i="4"/>
  <c r="S61" i="4" s="1"/>
  <c r="S37" i="4"/>
  <c r="S101" i="4" s="1"/>
  <c r="S32" i="4"/>
  <c r="S72" i="4" s="1"/>
  <c r="S27" i="4"/>
  <c r="S67" i="4" s="1"/>
  <c r="S19" i="4"/>
  <c r="S59" i="4" s="1"/>
  <c r="S15" i="4"/>
  <c r="S55" i="4" s="1"/>
  <c r="S35" i="4"/>
  <c r="S99" i="4" s="1"/>
  <c r="S25" i="4"/>
  <c r="S65" i="4" s="1"/>
  <c r="S17" i="4"/>
  <c r="S57" i="4" s="1"/>
  <c r="U114" i="4"/>
  <c r="R52" i="4"/>
  <c r="V87" i="4"/>
  <c r="U117" i="4"/>
  <c r="U118" i="4"/>
  <c r="V75" i="4"/>
  <c r="V77" i="4"/>
  <c r="W78" i="4"/>
  <c r="U115" i="4"/>
  <c r="U113" i="4"/>
  <c r="U116" i="4"/>
  <c r="V82" i="4"/>
  <c r="V90" i="4"/>
  <c r="U119" i="4"/>
  <c r="V92" i="4"/>
  <c r="V81" i="4"/>
  <c r="W83" i="4"/>
  <c r="V86" i="4"/>
  <c r="U111" i="4"/>
  <c r="V89" i="4"/>
  <c r="W93" i="4"/>
  <c r="V80" i="4"/>
  <c r="V94" i="4"/>
  <c r="W84" i="4"/>
  <c r="W85" i="4"/>
  <c r="W76" i="4"/>
  <c r="V79" i="4"/>
  <c r="U112" i="4"/>
  <c r="W91" i="4"/>
  <c r="V88" i="4"/>
  <c r="Y43" i="3"/>
  <c r="Y59" i="3"/>
  <c r="X44" i="3"/>
  <c r="Z42" i="3"/>
  <c r="S24" i="3"/>
  <c r="S53" i="3" s="1"/>
  <c r="S22" i="3"/>
  <c r="S51" i="3" s="1"/>
  <c r="S17" i="3"/>
  <c r="S37" i="3" s="1"/>
  <c r="S13" i="3"/>
  <c r="S33" i="3" s="1"/>
  <c r="S20" i="3"/>
  <c r="S49" i="3" s="1"/>
  <c r="S16" i="3"/>
  <c r="S36" i="3" s="1"/>
  <c r="S14" i="3"/>
  <c r="S34" i="3" s="1"/>
  <c r="S21" i="3"/>
  <c r="S50" i="3" s="1"/>
  <c r="S23" i="3"/>
  <c r="S52" i="3" s="1"/>
  <c r="S15" i="3"/>
  <c r="S35" i="3" s="1"/>
  <c r="S5" i="6"/>
  <c r="S5" i="4"/>
  <c r="T3" i="6"/>
  <c r="T3" i="4"/>
  <c r="BB227" i="1"/>
  <c r="BB225" i="1"/>
  <c r="BB223" i="1"/>
  <c r="BB221" i="1"/>
  <c r="BB220" i="1"/>
  <c r="BB222" i="1"/>
  <c r="BB219" i="1"/>
  <c r="BB218" i="1"/>
  <c r="BB224" i="1"/>
  <c r="BB226" i="1"/>
  <c r="BB201" i="1"/>
  <c r="BB195" i="1"/>
  <c r="BB198" i="1"/>
  <c r="BB200" i="1"/>
  <c r="BB199" i="1"/>
  <c r="BB197" i="1"/>
  <c r="BB196" i="1"/>
  <c r="BB194" i="1"/>
  <c r="BB193" i="1"/>
  <c r="BB192" i="1"/>
  <c r="BB136" i="1"/>
  <c r="BB135" i="1"/>
  <c r="BB134" i="1"/>
  <c r="BB131" i="1"/>
  <c r="BB137" i="1"/>
  <c r="BB129" i="1"/>
  <c r="BB128" i="1"/>
  <c r="X60" i="3"/>
  <c r="T41" i="3"/>
  <c r="X58" i="3"/>
  <c r="X57" i="3"/>
  <c r="T56" i="3"/>
  <c r="X40" i="3"/>
  <c r="BC23" i="12"/>
  <c r="BB111" i="1"/>
  <c r="BB109" i="1"/>
  <c r="BB107" i="1"/>
  <c r="BB110" i="1"/>
  <c r="BB108" i="1"/>
  <c r="BB106" i="1"/>
  <c r="BB99" i="1"/>
  <c r="BB98" i="1"/>
  <c r="BB96" i="1"/>
  <c r="BB105" i="1"/>
  <c r="BB100" i="1"/>
  <c r="BB104" i="1"/>
  <c r="BB101" i="1"/>
  <c r="BB103" i="1"/>
  <c r="BB102" i="1"/>
  <c r="T5" i="1"/>
  <c r="S5" i="3"/>
  <c r="U3" i="1"/>
  <c r="T3" i="3"/>
  <c r="Q38" i="6" l="1"/>
  <c r="R48" i="3"/>
  <c r="R68" i="6"/>
  <c r="R42" i="6"/>
  <c r="R32" i="3"/>
  <c r="R28" i="3" s="1"/>
  <c r="Q48" i="4"/>
  <c r="P12" i="11" s="1"/>
  <c r="N17" i="11"/>
  <c r="O10" i="11"/>
  <c r="T5" i="12"/>
  <c r="S5" i="11"/>
  <c r="T4" i="12"/>
  <c r="S4" i="11"/>
  <c r="T4" i="6"/>
  <c r="T4" i="4"/>
  <c r="T4" i="3"/>
  <c r="U3" i="12"/>
  <c r="U4" i="1"/>
  <c r="T3" i="11"/>
  <c r="BC24" i="12"/>
  <c r="P13" i="11"/>
  <c r="P11" i="11"/>
  <c r="BC63" i="1"/>
  <c r="BC62" i="1"/>
  <c r="BC60" i="1"/>
  <c r="BC61" i="1"/>
  <c r="R48" i="4"/>
  <c r="S68" i="6"/>
  <c r="T34" i="6"/>
  <c r="T78" i="6" s="1"/>
  <c r="T30" i="6"/>
  <c r="T74" i="6" s="1"/>
  <c r="T33" i="6"/>
  <c r="T77" i="6" s="1"/>
  <c r="T32" i="6"/>
  <c r="T76" i="6" s="1"/>
  <c r="T31" i="6"/>
  <c r="T75" i="6" s="1"/>
  <c r="T27" i="6"/>
  <c r="T71" i="6" s="1"/>
  <c r="T26" i="6"/>
  <c r="T70" i="6" s="1"/>
  <c r="T25" i="6"/>
  <c r="T69" i="6" s="1"/>
  <c r="T28" i="6"/>
  <c r="T72" i="6" s="1"/>
  <c r="T20" i="6"/>
  <c r="T50" i="6" s="1"/>
  <c r="T16" i="6"/>
  <c r="T46" i="6" s="1"/>
  <c r="T19" i="6"/>
  <c r="T49" i="6" s="1"/>
  <c r="T29" i="6"/>
  <c r="T73" i="6" s="1"/>
  <c r="T18" i="6"/>
  <c r="T48" i="6" s="1"/>
  <c r="T21" i="6"/>
  <c r="T51" i="6" s="1"/>
  <c r="T13" i="6"/>
  <c r="T43" i="6" s="1"/>
  <c r="T17" i="6"/>
  <c r="T47" i="6" s="1"/>
  <c r="T22" i="6"/>
  <c r="T52" i="6" s="1"/>
  <c r="T15" i="6"/>
  <c r="T45" i="6" s="1"/>
  <c r="T14" i="6"/>
  <c r="T44" i="6" s="1"/>
  <c r="S42" i="6"/>
  <c r="W64" i="6"/>
  <c r="W88" i="6"/>
  <c r="W86" i="6"/>
  <c r="W58" i="6"/>
  <c r="W55" i="6"/>
  <c r="W59" i="6"/>
  <c r="W84" i="6"/>
  <c r="W90" i="6"/>
  <c r="W82" i="6"/>
  <c r="W63" i="6"/>
  <c r="W60" i="6"/>
  <c r="W56" i="6"/>
  <c r="W89" i="6"/>
  <c r="W87" i="6"/>
  <c r="W83" i="6"/>
  <c r="W85" i="6"/>
  <c r="W62" i="6"/>
  <c r="W61" i="6"/>
  <c r="W81" i="6"/>
  <c r="W57" i="6"/>
  <c r="S98" i="4"/>
  <c r="X85" i="4"/>
  <c r="W90" i="4"/>
  <c r="X78" i="4"/>
  <c r="W94" i="4"/>
  <c r="X93" i="4"/>
  <c r="V111" i="4"/>
  <c r="V114" i="4"/>
  <c r="S52" i="4"/>
  <c r="W79" i="4"/>
  <c r="W92" i="4"/>
  <c r="V113" i="4"/>
  <c r="W88" i="4"/>
  <c r="X76" i="4"/>
  <c r="V119" i="4"/>
  <c r="W82" i="4"/>
  <c r="V115" i="4"/>
  <c r="W77" i="4"/>
  <c r="V118" i="4"/>
  <c r="W87" i="4"/>
  <c r="X91" i="4"/>
  <c r="X83" i="4"/>
  <c r="V116" i="4"/>
  <c r="W75" i="4"/>
  <c r="V117" i="4"/>
  <c r="T42" i="4"/>
  <c r="T106" i="4" s="1"/>
  <c r="T41" i="4"/>
  <c r="T105" i="4" s="1"/>
  <c r="T44" i="4"/>
  <c r="T108" i="4" s="1"/>
  <c r="T35" i="4"/>
  <c r="T99" i="4" s="1"/>
  <c r="T29" i="4"/>
  <c r="T69" i="4" s="1"/>
  <c r="T25" i="4"/>
  <c r="T65" i="4" s="1"/>
  <c r="T21" i="4"/>
  <c r="T61" i="4" s="1"/>
  <c r="T17" i="4"/>
  <c r="T57" i="4" s="1"/>
  <c r="T37" i="4"/>
  <c r="T101" i="4" s="1"/>
  <c r="T32" i="4"/>
  <c r="T72" i="4" s="1"/>
  <c r="T31" i="4"/>
  <c r="T71" i="4" s="1"/>
  <c r="T27" i="4"/>
  <c r="T67" i="4" s="1"/>
  <c r="T23" i="4"/>
  <c r="T63" i="4" s="1"/>
  <c r="T19" i="4"/>
  <c r="T59" i="4" s="1"/>
  <c r="T36" i="4"/>
  <c r="T100" i="4" s="1"/>
  <c r="T26" i="4"/>
  <c r="T66" i="4" s="1"/>
  <c r="T18" i="4"/>
  <c r="T58" i="4" s="1"/>
  <c r="T16" i="4"/>
  <c r="T56" i="4" s="1"/>
  <c r="T20" i="4"/>
  <c r="T60" i="4" s="1"/>
  <c r="T13" i="4"/>
  <c r="T53" i="4" s="1"/>
  <c r="T24" i="4"/>
  <c r="T64" i="4" s="1"/>
  <c r="T15" i="4"/>
  <c r="T55" i="4" s="1"/>
  <c r="T40" i="4"/>
  <c r="T104" i="4" s="1"/>
  <c r="T39" i="4"/>
  <c r="T103" i="4" s="1"/>
  <c r="T30" i="4"/>
  <c r="T70" i="4" s="1"/>
  <c r="T22" i="4"/>
  <c r="T62" i="4" s="1"/>
  <c r="T14" i="4"/>
  <c r="T54" i="4" s="1"/>
  <c r="T43" i="4"/>
  <c r="T107" i="4" s="1"/>
  <c r="T38" i="4"/>
  <c r="T102" i="4" s="1"/>
  <c r="T28" i="4"/>
  <c r="T68" i="4" s="1"/>
  <c r="V112" i="4"/>
  <c r="X84" i="4"/>
  <c r="W81" i="4"/>
  <c r="W80" i="4"/>
  <c r="W89" i="4"/>
  <c r="W86" i="4"/>
  <c r="V120" i="4"/>
  <c r="Z59" i="3"/>
  <c r="Z43" i="3"/>
  <c r="AA42" i="3"/>
  <c r="Y44" i="3"/>
  <c r="T21" i="3"/>
  <c r="T50" i="3" s="1"/>
  <c r="T20" i="3"/>
  <c r="T49" i="3" s="1"/>
  <c r="T17" i="3"/>
  <c r="T37" i="3" s="1"/>
  <c r="T22" i="3"/>
  <c r="T51" i="3" s="1"/>
  <c r="T23" i="3"/>
  <c r="T52" i="3" s="1"/>
  <c r="T16" i="3"/>
  <c r="T36" i="3" s="1"/>
  <c r="T15" i="3"/>
  <c r="T35" i="3" s="1"/>
  <c r="T24" i="3"/>
  <c r="T53" i="3" s="1"/>
  <c r="T14" i="3"/>
  <c r="T34" i="3" s="1"/>
  <c r="T13" i="3"/>
  <c r="T33" i="3" s="1"/>
  <c r="T5" i="6"/>
  <c r="T5" i="4"/>
  <c r="U3" i="4"/>
  <c r="U3" i="6"/>
  <c r="BC226" i="1"/>
  <c r="BC224" i="1"/>
  <c r="BC219" i="1"/>
  <c r="BC225" i="1"/>
  <c r="BC222" i="1"/>
  <c r="BC218" i="1"/>
  <c r="BC227" i="1"/>
  <c r="BC221" i="1"/>
  <c r="BC223" i="1"/>
  <c r="BC220" i="1"/>
  <c r="BC200" i="1"/>
  <c r="BC198" i="1"/>
  <c r="BC194" i="1"/>
  <c r="BC199" i="1"/>
  <c r="BC197" i="1"/>
  <c r="BC201" i="1"/>
  <c r="BC196" i="1"/>
  <c r="BC192" i="1"/>
  <c r="BC193" i="1"/>
  <c r="BC195" i="1"/>
  <c r="BC136" i="1"/>
  <c r="BC135" i="1"/>
  <c r="BC134" i="1"/>
  <c r="BC137" i="1"/>
  <c r="BC129" i="1"/>
  <c r="BC128" i="1"/>
  <c r="BC131" i="1"/>
  <c r="S32" i="3"/>
  <c r="Y57" i="3"/>
  <c r="U56" i="3"/>
  <c r="U41" i="3"/>
  <c r="Y60" i="3"/>
  <c r="S48" i="3"/>
  <c r="Y58" i="3"/>
  <c r="Y40" i="3"/>
  <c r="BD23" i="12"/>
  <c r="BC110" i="1"/>
  <c r="BC108" i="1"/>
  <c r="BC106" i="1"/>
  <c r="BC105" i="1"/>
  <c r="BC104" i="1"/>
  <c r="BC103" i="1"/>
  <c r="BC107" i="1"/>
  <c r="BC100" i="1"/>
  <c r="BC101" i="1"/>
  <c r="BC111" i="1"/>
  <c r="BC102" i="1"/>
  <c r="BC109" i="1"/>
  <c r="BC99" i="1"/>
  <c r="BC96" i="1"/>
  <c r="BC98" i="1"/>
  <c r="V3" i="1"/>
  <c r="U3" i="3"/>
  <c r="U5" i="1"/>
  <c r="T5" i="3"/>
  <c r="R38" i="6" l="1"/>
  <c r="S48" i="4"/>
  <c r="R12" i="11" s="1"/>
  <c r="O17" i="11"/>
  <c r="U5" i="12"/>
  <c r="T5" i="11"/>
  <c r="V3" i="12"/>
  <c r="V4" i="1"/>
  <c r="U3" i="11"/>
  <c r="U4" i="12"/>
  <c r="T4" i="11"/>
  <c r="U4" i="6"/>
  <c r="U4" i="4"/>
  <c r="U4" i="3"/>
  <c r="S38" i="6"/>
  <c r="R13" i="11" s="1"/>
  <c r="BD24" i="12"/>
  <c r="P10" i="11"/>
  <c r="Q13" i="11"/>
  <c r="Q11" i="11"/>
  <c r="Q12" i="11"/>
  <c r="BD62" i="1"/>
  <c r="BD61" i="1"/>
  <c r="BD63" i="1"/>
  <c r="BD60" i="1"/>
  <c r="T68" i="6"/>
  <c r="T42" i="6"/>
  <c r="U33" i="6"/>
  <c r="U77" i="6" s="1"/>
  <c r="U29" i="6"/>
  <c r="U73" i="6" s="1"/>
  <c r="U32" i="6"/>
  <c r="U76" i="6" s="1"/>
  <c r="U31" i="6"/>
  <c r="U75" i="6" s="1"/>
  <c r="U34" i="6"/>
  <c r="U78" i="6" s="1"/>
  <c r="U26" i="6"/>
  <c r="U70" i="6" s="1"/>
  <c r="U30" i="6"/>
  <c r="U74" i="6" s="1"/>
  <c r="U28" i="6"/>
  <c r="U72" i="6" s="1"/>
  <c r="U22" i="6"/>
  <c r="U52" i="6" s="1"/>
  <c r="U25" i="6"/>
  <c r="U69" i="6" s="1"/>
  <c r="U19" i="6"/>
  <c r="U49" i="6" s="1"/>
  <c r="U27" i="6"/>
  <c r="U71" i="6" s="1"/>
  <c r="U18" i="6"/>
  <c r="U48" i="6" s="1"/>
  <c r="U21" i="6"/>
  <c r="U51" i="6" s="1"/>
  <c r="U17" i="6"/>
  <c r="U47" i="6" s="1"/>
  <c r="U20" i="6"/>
  <c r="U50" i="6" s="1"/>
  <c r="U16" i="6"/>
  <c r="U46" i="6" s="1"/>
  <c r="U15" i="6"/>
  <c r="U45" i="6" s="1"/>
  <c r="U14" i="6"/>
  <c r="U44" i="6" s="1"/>
  <c r="U13" i="6"/>
  <c r="U43" i="6" s="1"/>
  <c r="X57" i="6"/>
  <c r="X85" i="6"/>
  <c r="X56" i="6"/>
  <c r="X63" i="6"/>
  <c r="X59" i="6"/>
  <c r="X58" i="6"/>
  <c r="X61" i="6"/>
  <c r="X87" i="6"/>
  <c r="X90" i="6"/>
  <c r="X88" i="6"/>
  <c r="X81" i="6"/>
  <c r="X62" i="6"/>
  <c r="X83" i="6"/>
  <c r="X89" i="6"/>
  <c r="X60" i="6"/>
  <c r="X82" i="6"/>
  <c r="X84" i="6"/>
  <c r="X55" i="6"/>
  <c r="X86" i="6"/>
  <c r="X64" i="6"/>
  <c r="T98" i="4"/>
  <c r="X81" i="4"/>
  <c r="X89" i="4"/>
  <c r="W112" i="4"/>
  <c r="X87" i="4"/>
  <c r="X77" i="4"/>
  <c r="X82" i="4"/>
  <c r="Y76" i="4"/>
  <c r="W114" i="4"/>
  <c r="Y93" i="4"/>
  <c r="W117" i="4"/>
  <c r="W116" i="4"/>
  <c r="Y91" i="4"/>
  <c r="X92" i="4"/>
  <c r="Y78" i="4"/>
  <c r="Y85" i="4"/>
  <c r="W120" i="4"/>
  <c r="X86" i="4"/>
  <c r="W111" i="4"/>
  <c r="X94" i="4"/>
  <c r="X80" i="4"/>
  <c r="Y84" i="4"/>
  <c r="W118" i="4"/>
  <c r="W115" i="4"/>
  <c r="W119" i="4"/>
  <c r="X88" i="4"/>
  <c r="U41" i="4"/>
  <c r="U105" i="4" s="1"/>
  <c r="U44" i="4"/>
  <c r="U108" i="4" s="1"/>
  <c r="U43" i="4"/>
  <c r="U107" i="4" s="1"/>
  <c r="U38" i="4"/>
  <c r="U102" i="4" s="1"/>
  <c r="U28" i="4"/>
  <c r="U68" i="4" s="1"/>
  <c r="U24" i="4"/>
  <c r="U64" i="4" s="1"/>
  <c r="U20" i="4"/>
  <c r="U60" i="4" s="1"/>
  <c r="U40" i="4"/>
  <c r="U104" i="4" s="1"/>
  <c r="U39" i="4"/>
  <c r="U103" i="4" s="1"/>
  <c r="U36" i="4"/>
  <c r="U100" i="4" s="1"/>
  <c r="U30" i="4"/>
  <c r="U70" i="4" s="1"/>
  <c r="U26" i="4"/>
  <c r="U66" i="4" s="1"/>
  <c r="U22" i="4"/>
  <c r="U62" i="4" s="1"/>
  <c r="U18" i="4"/>
  <c r="U58" i="4" s="1"/>
  <c r="U29" i="4"/>
  <c r="U69" i="4" s="1"/>
  <c r="U21" i="4"/>
  <c r="U61" i="4" s="1"/>
  <c r="U15" i="4"/>
  <c r="U55" i="4" s="1"/>
  <c r="U14" i="4"/>
  <c r="U54" i="4" s="1"/>
  <c r="U23" i="4"/>
  <c r="U63" i="4" s="1"/>
  <c r="U37" i="4"/>
  <c r="U101" i="4" s="1"/>
  <c r="U32" i="4"/>
  <c r="U72" i="4" s="1"/>
  <c r="U27" i="4"/>
  <c r="U67" i="4" s="1"/>
  <c r="U19" i="4"/>
  <c r="U59" i="4" s="1"/>
  <c r="U35" i="4"/>
  <c r="U99" i="4" s="1"/>
  <c r="U25" i="4"/>
  <c r="U65" i="4" s="1"/>
  <c r="U17" i="4"/>
  <c r="U57" i="4" s="1"/>
  <c r="U13" i="4"/>
  <c r="U53" i="4" s="1"/>
  <c r="U42" i="4"/>
  <c r="U106" i="4" s="1"/>
  <c r="U31" i="4"/>
  <c r="U71" i="4" s="1"/>
  <c r="U16" i="4"/>
  <c r="U56" i="4" s="1"/>
  <c r="T52" i="4"/>
  <c r="X75" i="4"/>
  <c r="Y83" i="4"/>
  <c r="W113" i="4"/>
  <c r="X79" i="4"/>
  <c r="X90" i="4"/>
  <c r="AA43" i="3"/>
  <c r="AA59" i="3"/>
  <c r="Z44" i="3"/>
  <c r="AB42" i="3"/>
  <c r="U24" i="3"/>
  <c r="U53" i="3" s="1"/>
  <c r="U17" i="3"/>
  <c r="U37" i="3" s="1"/>
  <c r="U20" i="3"/>
  <c r="U49" i="3" s="1"/>
  <c r="U16" i="3"/>
  <c r="U36" i="3" s="1"/>
  <c r="U23" i="3"/>
  <c r="U52" i="3" s="1"/>
  <c r="U21" i="3"/>
  <c r="U50" i="3" s="1"/>
  <c r="U15" i="3"/>
  <c r="U35" i="3" s="1"/>
  <c r="U22" i="3"/>
  <c r="U51" i="3" s="1"/>
  <c r="U13" i="3"/>
  <c r="U33" i="3" s="1"/>
  <c r="U14" i="3"/>
  <c r="U34" i="3" s="1"/>
  <c r="U5" i="4"/>
  <c r="U5" i="6"/>
  <c r="V3" i="4"/>
  <c r="V3" i="6"/>
  <c r="BD226" i="1"/>
  <c r="BD224" i="1"/>
  <c r="BD222" i="1"/>
  <c r="BD225" i="1"/>
  <c r="BD223" i="1"/>
  <c r="BD227" i="1"/>
  <c r="BD219" i="1"/>
  <c r="BD221" i="1"/>
  <c r="BD220" i="1"/>
  <c r="BD218" i="1"/>
  <c r="BD199" i="1"/>
  <c r="BD197" i="1"/>
  <c r="BD193" i="1"/>
  <c r="BD201" i="1"/>
  <c r="BD200" i="1"/>
  <c r="BD192" i="1"/>
  <c r="BD196" i="1"/>
  <c r="BD198" i="1"/>
  <c r="BD195" i="1"/>
  <c r="BD194" i="1"/>
  <c r="BD137" i="1"/>
  <c r="BD135" i="1"/>
  <c r="BD131" i="1"/>
  <c r="BD129" i="1"/>
  <c r="BD134" i="1"/>
  <c r="BD128" i="1"/>
  <c r="BD136" i="1"/>
  <c r="S28" i="3"/>
  <c r="T32" i="3"/>
  <c r="T48" i="3"/>
  <c r="V41" i="3"/>
  <c r="Z40" i="3"/>
  <c r="Z58" i="3"/>
  <c r="Z57" i="3"/>
  <c r="Z60" i="3"/>
  <c r="V56" i="3"/>
  <c r="BE23" i="12"/>
  <c r="BD111" i="1"/>
  <c r="BD110" i="1"/>
  <c r="BD109" i="1"/>
  <c r="BD108" i="1"/>
  <c r="BD107" i="1"/>
  <c r="BD106" i="1"/>
  <c r="BD105" i="1"/>
  <c r="BD104" i="1"/>
  <c r="BD103" i="1"/>
  <c r="BD101" i="1"/>
  <c r="BD102" i="1"/>
  <c r="BD99" i="1"/>
  <c r="BD98" i="1"/>
  <c r="BD96" i="1"/>
  <c r="BD100" i="1"/>
  <c r="V5" i="1"/>
  <c r="U5" i="3"/>
  <c r="W3" i="1"/>
  <c r="V3" i="3"/>
  <c r="T48" i="4" l="1"/>
  <c r="S12" i="11" s="1"/>
  <c r="P17" i="11"/>
  <c r="Q10" i="11"/>
  <c r="V5" i="12"/>
  <c r="U5" i="11"/>
  <c r="W3" i="12"/>
  <c r="W4" i="1"/>
  <c r="V3" i="11"/>
  <c r="V4" i="12"/>
  <c r="V4" i="3"/>
  <c r="U4" i="11"/>
  <c r="V4" i="6"/>
  <c r="V4" i="4"/>
  <c r="BE24" i="12"/>
  <c r="R11" i="11"/>
  <c r="R10" i="11" s="1"/>
  <c r="T38" i="6"/>
  <c r="BE61" i="1"/>
  <c r="BE60" i="1"/>
  <c r="BE63" i="1"/>
  <c r="BE62" i="1"/>
  <c r="U68" i="6"/>
  <c r="V32" i="6"/>
  <c r="V76" i="6" s="1"/>
  <c r="V31" i="6"/>
  <c r="V75" i="6" s="1"/>
  <c r="V34" i="6"/>
  <c r="V78" i="6" s="1"/>
  <c r="V30" i="6"/>
  <c r="V74" i="6" s="1"/>
  <c r="V25" i="6"/>
  <c r="V69" i="6" s="1"/>
  <c r="V33" i="6"/>
  <c r="V77" i="6" s="1"/>
  <c r="V28" i="6"/>
  <c r="V72" i="6" s="1"/>
  <c r="V29" i="6"/>
  <c r="V73" i="6" s="1"/>
  <c r="V27" i="6"/>
  <c r="V71" i="6" s="1"/>
  <c r="V18" i="6"/>
  <c r="V48" i="6" s="1"/>
  <c r="V21" i="6"/>
  <c r="V51" i="6" s="1"/>
  <c r="V26" i="6"/>
  <c r="V70" i="6" s="1"/>
  <c r="V22" i="6"/>
  <c r="V52" i="6" s="1"/>
  <c r="V20" i="6"/>
  <c r="V50" i="6" s="1"/>
  <c r="V16" i="6"/>
  <c r="V46" i="6" s="1"/>
  <c r="V15" i="6"/>
  <c r="V45" i="6" s="1"/>
  <c r="V14" i="6"/>
  <c r="V44" i="6" s="1"/>
  <c r="V19" i="6"/>
  <c r="V49" i="6" s="1"/>
  <c r="V17" i="6"/>
  <c r="V47" i="6" s="1"/>
  <c r="V13" i="6"/>
  <c r="V43" i="6" s="1"/>
  <c r="U42" i="6"/>
  <c r="Y64" i="6"/>
  <c r="Y55" i="6"/>
  <c r="Y82" i="6"/>
  <c r="Y89" i="6"/>
  <c r="Y62" i="6"/>
  <c r="Y88" i="6"/>
  <c r="Y87" i="6"/>
  <c r="Y58" i="6"/>
  <c r="Y63" i="6"/>
  <c r="Y85" i="6"/>
  <c r="Y86" i="6"/>
  <c r="Y84" i="6"/>
  <c r="Y60" i="6"/>
  <c r="Y83" i="6"/>
  <c r="Y81" i="6"/>
  <c r="Y90" i="6"/>
  <c r="Y61" i="6"/>
  <c r="Y59" i="6"/>
  <c r="Y56" i="6"/>
  <c r="Y57" i="6"/>
  <c r="U98" i="4"/>
  <c r="Y88" i="4"/>
  <c r="X115" i="4"/>
  <c r="Z84" i="4"/>
  <c r="Y94" i="4"/>
  <c r="Y86" i="4"/>
  <c r="X120" i="4"/>
  <c r="Z85" i="4"/>
  <c r="Y92" i="4"/>
  <c r="X116" i="4"/>
  <c r="Y90" i="4"/>
  <c r="X113" i="4"/>
  <c r="Y75" i="4"/>
  <c r="Z93" i="4"/>
  <c r="Z76" i="4"/>
  <c r="Y77" i="4"/>
  <c r="X112" i="4"/>
  <c r="V44" i="4"/>
  <c r="V108" i="4" s="1"/>
  <c r="V40" i="4"/>
  <c r="V104" i="4" s="1"/>
  <c r="V43" i="4"/>
  <c r="V107" i="4" s="1"/>
  <c r="V42" i="4"/>
  <c r="V106" i="4" s="1"/>
  <c r="V37" i="4"/>
  <c r="V101" i="4" s="1"/>
  <c r="V32" i="4"/>
  <c r="V72" i="4" s="1"/>
  <c r="V31" i="4"/>
  <c r="V71" i="4" s="1"/>
  <c r="V27" i="4"/>
  <c r="V67" i="4" s="1"/>
  <c r="V23" i="4"/>
  <c r="V63" i="4" s="1"/>
  <c r="V19" i="4"/>
  <c r="V59" i="4" s="1"/>
  <c r="V35" i="4"/>
  <c r="V99" i="4" s="1"/>
  <c r="V29" i="4"/>
  <c r="V69" i="4" s="1"/>
  <c r="V25" i="4"/>
  <c r="V65" i="4" s="1"/>
  <c r="V21" i="4"/>
  <c r="V61" i="4" s="1"/>
  <c r="V17" i="4"/>
  <c r="V57" i="4" s="1"/>
  <c r="V41" i="4"/>
  <c r="V105" i="4" s="1"/>
  <c r="V24" i="4"/>
  <c r="V64" i="4" s="1"/>
  <c r="V14" i="4"/>
  <c r="V54" i="4" s="1"/>
  <c r="V13" i="4"/>
  <c r="V53" i="4" s="1"/>
  <c r="V39" i="4"/>
  <c r="V103" i="4" s="1"/>
  <c r="V30" i="4"/>
  <c r="V70" i="4" s="1"/>
  <c r="V22" i="4"/>
  <c r="V62" i="4" s="1"/>
  <c r="V18" i="4"/>
  <c r="V58" i="4" s="1"/>
  <c r="V15" i="4"/>
  <c r="V55" i="4" s="1"/>
  <c r="V38" i="4"/>
  <c r="V102" i="4" s="1"/>
  <c r="V28" i="4"/>
  <c r="V68" i="4" s="1"/>
  <c r="V20" i="4"/>
  <c r="V60" i="4" s="1"/>
  <c r="V16" i="4"/>
  <c r="V56" i="4" s="1"/>
  <c r="V36" i="4"/>
  <c r="V100" i="4" s="1"/>
  <c r="V26" i="4"/>
  <c r="V66" i="4" s="1"/>
  <c r="U52" i="4"/>
  <c r="X119" i="4"/>
  <c r="X118" i="4"/>
  <c r="Y80" i="4"/>
  <c r="X111" i="4"/>
  <c r="Z78" i="4"/>
  <c r="Z91" i="4"/>
  <c r="X117" i="4"/>
  <c r="Y81" i="4"/>
  <c r="Y79" i="4"/>
  <c r="Z83" i="4"/>
  <c r="X114" i="4"/>
  <c r="Y82" i="4"/>
  <c r="Y87" i="4"/>
  <c r="Y89" i="4"/>
  <c r="AB59" i="3"/>
  <c r="AB43" i="3"/>
  <c r="AC42" i="3"/>
  <c r="AA44" i="3"/>
  <c r="V23" i="3"/>
  <c r="V52" i="3" s="1"/>
  <c r="V24" i="3"/>
  <c r="V53" i="3" s="1"/>
  <c r="V22" i="3"/>
  <c r="V51" i="3" s="1"/>
  <c r="V21" i="3"/>
  <c r="V50" i="3" s="1"/>
  <c r="V15" i="3"/>
  <c r="V35" i="3" s="1"/>
  <c r="V16" i="3"/>
  <c r="V36" i="3" s="1"/>
  <c r="V14" i="3"/>
  <c r="V34" i="3" s="1"/>
  <c r="V20" i="3"/>
  <c r="V49" i="3" s="1"/>
  <c r="V13" i="3"/>
  <c r="V33" i="3" s="1"/>
  <c r="V17" i="3"/>
  <c r="V37" i="3" s="1"/>
  <c r="W3" i="6"/>
  <c r="W3" i="4"/>
  <c r="V5" i="6"/>
  <c r="V5" i="4"/>
  <c r="BE227" i="1"/>
  <c r="BE225" i="1"/>
  <c r="BE224" i="1"/>
  <c r="BE223" i="1"/>
  <c r="BE222" i="1"/>
  <c r="BE221" i="1"/>
  <c r="BE220" i="1"/>
  <c r="BE226" i="1"/>
  <c r="BE218" i="1"/>
  <c r="BE219" i="1"/>
  <c r="BE201" i="1"/>
  <c r="BE200" i="1"/>
  <c r="BE199" i="1"/>
  <c r="BE196" i="1"/>
  <c r="BE192" i="1"/>
  <c r="BE198" i="1"/>
  <c r="BE195" i="1"/>
  <c r="BE194" i="1"/>
  <c r="BE193" i="1"/>
  <c r="BE197" i="1"/>
  <c r="BE137" i="1"/>
  <c r="BE136" i="1"/>
  <c r="BE135" i="1"/>
  <c r="BE134" i="1"/>
  <c r="BE128" i="1"/>
  <c r="BE131" i="1"/>
  <c r="BE129" i="1"/>
  <c r="U32" i="3"/>
  <c r="T28" i="3"/>
  <c r="AA58" i="3"/>
  <c r="U48" i="3"/>
  <c r="W56" i="3"/>
  <c r="AA60" i="3"/>
  <c r="AA57" i="3"/>
  <c r="AA40" i="3"/>
  <c r="W41" i="3"/>
  <c r="BF23" i="12"/>
  <c r="BE111" i="1"/>
  <c r="BE110" i="1"/>
  <c r="BE109" i="1"/>
  <c r="BE108" i="1"/>
  <c r="BE107" i="1"/>
  <c r="BE106" i="1"/>
  <c r="BE105" i="1"/>
  <c r="BE104" i="1"/>
  <c r="BE103" i="1"/>
  <c r="BE102" i="1"/>
  <c r="BE101" i="1"/>
  <c r="BE100" i="1"/>
  <c r="BE99" i="1"/>
  <c r="BE98" i="1"/>
  <c r="BE96" i="1"/>
  <c r="X3" i="1"/>
  <c r="W3" i="3"/>
  <c r="W5" i="1"/>
  <c r="V5" i="3"/>
  <c r="Q17" i="11" l="1"/>
  <c r="R17" i="11" s="1"/>
  <c r="W5" i="12"/>
  <c r="V5" i="11"/>
  <c r="X3" i="12"/>
  <c r="X4" i="1"/>
  <c r="W3" i="11"/>
  <c r="W4" i="12"/>
  <c r="V4" i="11"/>
  <c r="W4" i="6"/>
  <c r="W4" i="4"/>
  <c r="W4" i="3"/>
  <c r="BF24" i="12"/>
  <c r="S11" i="11"/>
  <c r="U48" i="4"/>
  <c r="S13" i="11"/>
  <c r="BF60" i="1"/>
  <c r="BF63" i="1"/>
  <c r="BF61" i="1"/>
  <c r="BF62" i="1"/>
  <c r="U38" i="6"/>
  <c r="W31" i="6"/>
  <c r="W75" i="6" s="1"/>
  <c r="W34" i="6"/>
  <c r="W78" i="6" s="1"/>
  <c r="W30" i="6"/>
  <c r="W74" i="6" s="1"/>
  <c r="W33" i="6"/>
  <c r="W77" i="6" s="1"/>
  <c r="W29" i="6"/>
  <c r="W73" i="6" s="1"/>
  <c r="W28" i="6"/>
  <c r="W72" i="6" s="1"/>
  <c r="W22" i="6"/>
  <c r="W52" i="6" s="1"/>
  <c r="W27" i="6"/>
  <c r="W71" i="6" s="1"/>
  <c r="W32" i="6"/>
  <c r="W76" i="6" s="1"/>
  <c r="W26" i="6"/>
  <c r="W70" i="6" s="1"/>
  <c r="W21" i="6"/>
  <c r="W51" i="6" s="1"/>
  <c r="W17" i="6"/>
  <c r="W47" i="6" s="1"/>
  <c r="W20" i="6"/>
  <c r="W50" i="6" s="1"/>
  <c r="W19" i="6"/>
  <c r="W49" i="6" s="1"/>
  <c r="W16" i="6"/>
  <c r="W46" i="6" s="1"/>
  <c r="W14" i="6"/>
  <c r="W44" i="6" s="1"/>
  <c r="W13" i="6"/>
  <c r="W43" i="6" s="1"/>
  <c r="W18" i="6"/>
  <c r="W48" i="6" s="1"/>
  <c r="W25" i="6"/>
  <c r="W69" i="6" s="1"/>
  <c r="W15" i="6"/>
  <c r="W45" i="6" s="1"/>
  <c r="V42" i="6"/>
  <c r="V68" i="6"/>
  <c r="Z57" i="6"/>
  <c r="Z59" i="6"/>
  <c r="Z90" i="6"/>
  <c r="Z83" i="6"/>
  <c r="Z84" i="6"/>
  <c r="Z85" i="6"/>
  <c r="Z58" i="6"/>
  <c r="Z88" i="6"/>
  <c r="Z89" i="6"/>
  <c r="Z55" i="6"/>
  <c r="Z56" i="6"/>
  <c r="Z61" i="6"/>
  <c r="Z81" i="6"/>
  <c r="Z60" i="6"/>
  <c r="Z86" i="6"/>
  <c r="Z63" i="6"/>
  <c r="Z87" i="6"/>
  <c r="Z62" i="6"/>
  <c r="Z82" i="6"/>
  <c r="Z64" i="6"/>
  <c r="V98" i="4"/>
  <c r="AA83" i="4"/>
  <c r="Y120" i="4"/>
  <c r="Z80" i="4"/>
  <c r="Y119" i="4"/>
  <c r="Z89" i="4"/>
  <c r="AA76" i="4"/>
  <c r="Z90" i="4"/>
  <c r="Z94" i="4"/>
  <c r="Y117" i="4"/>
  <c r="Z87" i="4"/>
  <c r="Y114" i="4"/>
  <c r="Z79" i="4"/>
  <c r="V52" i="4"/>
  <c r="Z77" i="4"/>
  <c r="AA93" i="4"/>
  <c r="Y113" i="4"/>
  <c r="Y116" i="4"/>
  <c r="AA85" i="4"/>
  <c r="Z86" i="4"/>
  <c r="AA84" i="4"/>
  <c r="Z88" i="4"/>
  <c r="Z82" i="4"/>
  <c r="Y112" i="4"/>
  <c r="Z75" i="4"/>
  <c r="Z92" i="4"/>
  <c r="Y115" i="4"/>
  <c r="AA78" i="4"/>
  <c r="W43" i="4"/>
  <c r="W107" i="4" s="1"/>
  <c r="W39" i="4"/>
  <c r="W103" i="4" s="1"/>
  <c r="W42" i="4"/>
  <c r="W106" i="4" s="1"/>
  <c r="W36" i="4"/>
  <c r="W100" i="4" s="1"/>
  <c r="W30" i="4"/>
  <c r="W70" i="4" s="1"/>
  <c r="W26" i="4"/>
  <c r="W66" i="4" s="1"/>
  <c r="W22" i="4"/>
  <c r="W62" i="4" s="1"/>
  <c r="W18" i="4"/>
  <c r="W58" i="4" s="1"/>
  <c r="W41" i="4"/>
  <c r="W105" i="4" s="1"/>
  <c r="W38" i="4"/>
  <c r="W102" i="4" s="1"/>
  <c r="W28" i="4"/>
  <c r="W68" i="4" s="1"/>
  <c r="W24" i="4"/>
  <c r="W64" i="4" s="1"/>
  <c r="W20" i="4"/>
  <c r="W60" i="4" s="1"/>
  <c r="W16" i="4"/>
  <c r="W56" i="4" s="1"/>
  <c r="W44" i="4"/>
  <c r="W108" i="4" s="1"/>
  <c r="W37" i="4"/>
  <c r="W101" i="4" s="1"/>
  <c r="W32" i="4"/>
  <c r="W72" i="4" s="1"/>
  <c r="W27" i="4"/>
  <c r="W67" i="4" s="1"/>
  <c r="W19" i="4"/>
  <c r="W59" i="4" s="1"/>
  <c r="W13" i="4"/>
  <c r="W53" i="4" s="1"/>
  <c r="W21" i="4"/>
  <c r="W61" i="4" s="1"/>
  <c r="W40" i="4"/>
  <c r="W104" i="4" s="1"/>
  <c r="W35" i="4"/>
  <c r="W99" i="4" s="1"/>
  <c r="W25" i="4"/>
  <c r="W65" i="4" s="1"/>
  <c r="W17" i="4"/>
  <c r="W57" i="4" s="1"/>
  <c r="W31" i="4"/>
  <c r="W71" i="4" s="1"/>
  <c r="W23" i="4"/>
  <c r="W63" i="4" s="1"/>
  <c r="W15" i="4"/>
  <c r="W55" i="4" s="1"/>
  <c r="W29" i="4"/>
  <c r="W69" i="4" s="1"/>
  <c r="W14" i="4"/>
  <c r="W54" i="4" s="1"/>
  <c r="Z81" i="4"/>
  <c r="AA91" i="4"/>
  <c r="Y111" i="4"/>
  <c r="Y118" i="4"/>
  <c r="AC43" i="3"/>
  <c r="AC59" i="3"/>
  <c r="AB44" i="3"/>
  <c r="AD42" i="3"/>
  <c r="W24" i="3"/>
  <c r="W53" i="3" s="1"/>
  <c r="W22" i="3"/>
  <c r="W51" i="3" s="1"/>
  <c r="W23" i="3"/>
  <c r="W52" i="3" s="1"/>
  <c r="W20" i="3"/>
  <c r="W49" i="3" s="1"/>
  <c r="W13" i="3"/>
  <c r="W33" i="3" s="1"/>
  <c r="W17" i="3"/>
  <c r="W37" i="3" s="1"/>
  <c r="W15" i="3"/>
  <c r="W35" i="3" s="1"/>
  <c r="W21" i="3"/>
  <c r="W50" i="3" s="1"/>
  <c r="W16" i="3"/>
  <c r="W36" i="3" s="1"/>
  <c r="W14" i="3"/>
  <c r="W34" i="3" s="1"/>
  <c r="W5" i="6"/>
  <c r="W5" i="4"/>
  <c r="X3" i="6"/>
  <c r="X3" i="4"/>
  <c r="BF227" i="1"/>
  <c r="BF225" i="1"/>
  <c r="BF223" i="1"/>
  <c r="BF221" i="1"/>
  <c r="BF222" i="1"/>
  <c r="BF226" i="1"/>
  <c r="BF224" i="1"/>
  <c r="BF220" i="1"/>
  <c r="BF218" i="1"/>
  <c r="BF219" i="1"/>
  <c r="BF201" i="1"/>
  <c r="BF195" i="1"/>
  <c r="BF198" i="1"/>
  <c r="BF197" i="1"/>
  <c r="BF199" i="1"/>
  <c r="BF192" i="1"/>
  <c r="BF200" i="1"/>
  <c r="BF196" i="1"/>
  <c r="BF194" i="1"/>
  <c r="BF193" i="1"/>
  <c r="BF137" i="1"/>
  <c r="BF136" i="1"/>
  <c r="BF135" i="1"/>
  <c r="BF134" i="1"/>
  <c r="BF131" i="1"/>
  <c r="BF129" i="1"/>
  <c r="BF128" i="1"/>
  <c r="U28" i="3"/>
  <c r="V32" i="3"/>
  <c r="X56" i="3"/>
  <c r="AB58" i="3"/>
  <c r="AB40" i="3"/>
  <c r="AB60" i="3"/>
  <c r="AB57" i="3"/>
  <c r="V48" i="3"/>
  <c r="X41" i="3"/>
  <c r="BF110" i="1"/>
  <c r="BF108" i="1"/>
  <c r="BF111" i="1"/>
  <c r="BF109" i="1"/>
  <c r="BF107" i="1"/>
  <c r="BF106" i="1"/>
  <c r="BF105" i="1"/>
  <c r="BF102" i="1"/>
  <c r="BF98" i="1"/>
  <c r="BF96" i="1"/>
  <c r="BF104" i="1"/>
  <c r="BF99" i="1"/>
  <c r="BF103" i="1"/>
  <c r="BF100" i="1"/>
  <c r="BF101" i="1"/>
  <c r="X5" i="1"/>
  <c r="W5" i="3"/>
  <c r="Y3" i="1"/>
  <c r="X3" i="3"/>
  <c r="Y3" i="12" l="1"/>
  <c r="Y4" i="1"/>
  <c r="X3" i="11"/>
  <c r="BG23" i="12"/>
  <c r="BG24" i="12" s="1"/>
  <c r="X5" i="12"/>
  <c r="W5" i="11"/>
  <c r="X4" i="12"/>
  <c r="W4" i="11"/>
  <c r="X4" i="6"/>
  <c r="X4" i="4"/>
  <c r="X4" i="3"/>
  <c r="T12" i="11"/>
  <c r="T11" i="11"/>
  <c r="V48" i="4"/>
  <c r="T13" i="11"/>
  <c r="S10" i="11"/>
  <c r="S17" i="11" s="1"/>
  <c r="BG63" i="1"/>
  <c r="BG62" i="1"/>
  <c r="BG61" i="1"/>
  <c r="BG60" i="1"/>
  <c r="V38" i="6"/>
  <c r="W68" i="6"/>
  <c r="X34" i="6"/>
  <c r="X78" i="6" s="1"/>
  <c r="X30" i="6"/>
  <c r="X74" i="6" s="1"/>
  <c r="X33" i="6"/>
  <c r="X77" i="6" s="1"/>
  <c r="X32" i="6"/>
  <c r="X76" i="6" s="1"/>
  <c r="X27" i="6"/>
  <c r="X71" i="6" s="1"/>
  <c r="X29" i="6"/>
  <c r="X73" i="6" s="1"/>
  <c r="X26" i="6"/>
  <c r="X70" i="6" s="1"/>
  <c r="X25" i="6"/>
  <c r="X69" i="6" s="1"/>
  <c r="X20" i="6"/>
  <c r="X50" i="6" s="1"/>
  <c r="X16" i="6"/>
  <c r="X46" i="6" s="1"/>
  <c r="X22" i="6"/>
  <c r="X52" i="6" s="1"/>
  <c r="X19" i="6"/>
  <c r="X49" i="6" s="1"/>
  <c r="X31" i="6"/>
  <c r="X75" i="6" s="1"/>
  <c r="X18" i="6"/>
  <c r="X48" i="6" s="1"/>
  <c r="X13" i="6"/>
  <c r="X43" i="6" s="1"/>
  <c r="X14" i="6"/>
  <c r="X44" i="6" s="1"/>
  <c r="X28" i="6"/>
  <c r="X72" i="6" s="1"/>
  <c r="X17" i="6"/>
  <c r="X47" i="6" s="1"/>
  <c r="X15" i="6"/>
  <c r="X45" i="6" s="1"/>
  <c r="X21" i="6"/>
  <c r="X51" i="6" s="1"/>
  <c r="W42" i="6"/>
  <c r="AA64" i="6"/>
  <c r="AA62" i="6"/>
  <c r="AA63" i="6"/>
  <c r="AA60" i="6"/>
  <c r="AA61" i="6"/>
  <c r="AA55" i="6"/>
  <c r="AA88" i="6"/>
  <c r="AA85" i="6"/>
  <c r="AA83" i="6"/>
  <c r="AA59" i="6"/>
  <c r="AA82" i="6"/>
  <c r="AA87" i="6"/>
  <c r="AA86" i="6"/>
  <c r="AA81" i="6"/>
  <c r="AA56" i="6"/>
  <c r="AA89" i="6"/>
  <c r="AA58" i="6"/>
  <c r="AA84" i="6"/>
  <c r="AA90" i="6"/>
  <c r="AA57" i="6"/>
  <c r="W98" i="4"/>
  <c r="Z118" i="4"/>
  <c r="AB91" i="4"/>
  <c r="AB78" i="4"/>
  <c r="Z115" i="4"/>
  <c r="AA75" i="4"/>
  <c r="AA82" i="4"/>
  <c r="AA88" i="4"/>
  <c r="AA86" i="4"/>
  <c r="Z116" i="4"/>
  <c r="AB93" i="4"/>
  <c r="AA90" i="4"/>
  <c r="AA89" i="4"/>
  <c r="Z119" i="4"/>
  <c r="Z120" i="4"/>
  <c r="W52" i="4"/>
  <c r="AA79" i="4"/>
  <c r="AA87" i="4"/>
  <c r="Z117" i="4"/>
  <c r="Z111" i="4"/>
  <c r="AA81" i="4"/>
  <c r="AA92" i="4"/>
  <c r="Z112" i="4"/>
  <c r="AB84" i="4"/>
  <c r="AB85" i="4"/>
  <c r="Z113" i="4"/>
  <c r="AA77" i="4"/>
  <c r="AA94" i="4"/>
  <c r="AB76" i="4"/>
  <c r="AA80" i="4"/>
  <c r="AB83" i="4"/>
  <c r="X42" i="4"/>
  <c r="X106" i="4" s="1"/>
  <c r="X41" i="4"/>
  <c r="X105" i="4" s="1"/>
  <c r="X44" i="4"/>
  <c r="X108" i="4" s="1"/>
  <c r="X43" i="4"/>
  <c r="X107" i="4" s="1"/>
  <c r="X40" i="4"/>
  <c r="X104" i="4" s="1"/>
  <c r="X39" i="4"/>
  <c r="X103" i="4" s="1"/>
  <c r="X35" i="4"/>
  <c r="X99" i="4" s="1"/>
  <c r="X29" i="4"/>
  <c r="X69" i="4" s="1"/>
  <c r="X25" i="4"/>
  <c r="X65" i="4" s="1"/>
  <c r="X21" i="4"/>
  <c r="X61" i="4" s="1"/>
  <c r="X17" i="4"/>
  <c r="X57" i="4" s="1"/>
  <c r="X37" i="4"/>
  <c r="X101" i="4" s="1"/>
  <c r="X32" i="4"/>
  <c r="X72" i="4" s="1"/>
  <c r="X31" i="4"/>
  <c r="X71" i="4" s="1"/>
  <c r="X27" i="4"/>
  <c r="X67" i="4" s="1"/>
  <c r="X23" i="4"/>
  <c r="X63" i="4" s="1"/>
  <c r="X19" i="4"/>
  <c r="X59" i="4" s="1"/>
  <c r="X30" i="4"/>
  <c r="X70" i="4" s="1"/>
  <c r="X22" i="4"/>
  <c r="X62" i="4" s="1"/>
  <c r="X20" i="4"/>
  <c r="X60" i="4" s="1"/>
  <c r="X16" i="4"/>
  <c r="X56" i="4" s="1"/>
  <c r="X15" i="4"/>
  <c r="X55" i="4" s="1"/>
  <c r="X38" i="4"/>
  <c r="X102" i="4" s="1"/>
  <c r="X28" i="4"/>
  <c r="X68" i="4" s="1"/>
  <c r="X36" i="4"/>
  <c r="X100" i="4" s="1"/>
  <c r="X26" i="4"/>
  <c r="X66" i="4" s="1"/>
  <c r="X18" i="4"/>
  <c r="X58" i="4" s="1"/>
  <c r="X14" i="4"/>
  <c r="X54" i="4" s="1"/>
  <c r="X24" i="4"/>
  <c r="X64" i="4" s="1"/>
  <c r="X13" i="4"/>
  <c r="X53" i="4" s="1"/>
  <c r="Z114" i="4"/>
  <c r="AD59" i="3"/>
  <c r="AD43" i="3"/>
  <c r="AE42" i="3"/>
  <c r="AC44" i="3"/>
  <c r="X21" i="3"/>
  <c r="X50" i="3" s="1"/>
  <c r="X20" i="3"/>
  <c r="X49" i="3" s="1"/>
  <c r="X24" i="3"/>
  <c r="X53" i="3" s="1"/>
  <c r="X15" i="3"/>
  <c r="X35" i="3" s="1"/>
  <c r="X14" i="3"/>
  <c r="X34" i="3" s="1"/>
  <c r="X23" i="3"/>
  <c r="X52" i="3" s="1"/>
  <c r="X13" i="3"/>
  <c r="X33" i="3" s="1"/>
  <c r="X22" i="3"/>
  <c r="X51" i="3" s="1"/>
  <c r="X17" i="3"/>
  <c r="X37" i="3" s="1"/>
  <c r="X16" i="3"/>
  <c r="X36" i="3" s="1"/>
  <c r="X5" i="4"/>
  <c r="X5" i="6"/>
  <c r="Y3" i="6"/>
  <c r="Y3" i="4"/>
  <c r="BG226" i="1"/>
  <c r="BG225" i="1"/>
  <c r="BG221" i="1"/>
  <c r="BG227" i="1"/>
  <c r="BG219" i="1"/>
  <c r="BG224" i="1"/>
  <c r="BG220" i="1"/>
  <c r="BG218" i="1"/>
  <c r="BG223" i="1"/>
  <c r="BG222" i="1"/>
  <c r="BG200" i="1"/>
  <c r="BG198" i="1"/>
  <c r="BG194" i="1"/>
  <c r="BG197" i="1"/>
  <c r="BG199" i="1"/>
  <c r="BG196" i="1"/>
  <c r="BG201" i="1"/>
  <c r="BG193" i="1"/>
  <c r="BG192" i="1"/>
  <c r="BG195" i="1"/>
  <c r="BG136" i="1"/>
  <c r="BG135" i="1"/>
  <c r="BG134" i="1"/>
  <c r="BG129" i="1"/>
  <c r="BG128" i="1"/>
  <c r="BG137" i="1"/>
  <c r="BG131" i="1"/>
  <c r="W32" i="3"/>
  <c r="Y56" i="3"/>
  <c r="W48" i="3"/>
  <c r="AC40" i="3"/>
  <c r="AC58" i="3"/>
  <c r="V28" i="3"/>
  <c r="Y41" i="3"/>
  <c r="AC57" i="3"/>
  <c r="AC60" i="3"/>
  <c r="BG111" i="1"/>
  <c r="BG109" i="1"/>
  <c r="BG107" i="1"/>
  <c r="BG106" i="1"/>
  <c r="BG105" i="1"/>
  <c r="BG104" i="1"/>
  <c r="BG103" i="1"/>
  <c r="BG110" i="1"/>
  <c r="BG99" i="1"/>
  <c r="BG108" i="1"/>
  <c r="BG100" i="1"/>
  <c r="BG101" i="1"/>
  <c r="BG98" i="1"/>
  <c r="BG102" i="1"/>
  <c r="BG96" i="1"/>
  <c r="Z3" i="1"/>
  <c r="Y3" i="3"/>
  <c r="Y5" i="1"/>
  <c r="X5" i="3"/>
  <c r="BH23" i="12" l="1"/>
  <c r="BH24" i="12" s="1"/>
  <c r="Z3" i="12"/>
  <c r="Z4" i="1"/>
  <c r="Y3" i="11"/>
  <c r="Y4" i="12"/>
  <c r="X4" i="11"/>
  <c r="Y4" i="6"/>
  <c r="Y4" i="4"/>
  <c r="Y4" i="3"/>
  <c r="Y5" i="12"/>
  <c r="X5" i="11"/>
  <c r="T10" i="11"/>
  <c r="T17" i="11" s="1"/>
  <c r="U12" i="11"/>
  <c r="U11" i="11"/>
  <c r="U13" i="11"/>
  <c r="W38" i="6"/>
  <c r="BH62" i="1"/>
  <c r="BH61" i="1"/>
  <c r="BH60" i="1"/>
  <c r="BH63" i="1"/>
  <c r="X42" i="6"/>
  <c r="W48" i="4"/>
  <c r="X68" i="6"/>
  <c r="Y33" i="6"/>
  <c r="Y77" i="6" s="1"/>
  <c r="Y29" i="6"/>
  <c r="Y73" i="6" s="1"/>
  <c r="Y32" i="6"/>
  <c r="Y76" i="6" s="1"/>
  <c r="Y31" i="6"/>
  <c r="Y75" i="6" s="1"/>
  <c r="Y30" i="6"/>
  <c r="Y74" i="6" s="1"/>
  <c r="Y26" i="6"/>
  <c r="Y70" i="6" s="1"/>
  <c r="Y25" i="6"/>
  <c r="Y69" i="6" s="1"/>
  <c r="Y28" i="6"/>
  <c r="Y72" i="6" s="1"/>
  <c r="Y22" i="6"/>
  <c r="Y52" i="6" s="1"/>
  <c r="Y34" i="6"/>
  <c r="Y78" i="6" s="1"/>
  <c r="Y27" i="6"/>
  <c r="Y71" i="6" s="1"/>
  <c r="Y19" i="6"/>
  <c r="Y49" i="6" s="1"/>
  <c r="Y18" i="6"/>
  <c r="Y48" i="6" s="1"/>
  <c r="Y21" i="6"/>
  <c r="Y51" i="6" s="1"/>
  <c r="Y17" i="6"/>
  <c r="Y47" i="6" s="1"/>
  <c r="Y20" i="6"/>
  <c r="Y50" i="6" s="1"/>
  <c r="Y15" i="6"/>
  <c r="Y45" i="6" s="1"/>
  <c r="Y16" i="6"/>
  <c r="Y46" i="6" s="1"/>
  <c r="Y13" i="6"/>
  <c r="Y43" i="6" s="1"/>
  <c r="Y14" i="6"/>
  <c r="Y44" i="6" s="1"/>
  <c r="AB84" i="6"/>
  <c r="AB81" i="6"/>
  <c r="AB59" i="6"/>
  <c r="AB55" i="6"/>
  <c r="AB60" i="6"/>
  <c r="AB57" i="6"/>
  <c r="AB89" i="6"/>
  <c r="AB87" i="6"/>
  <c r="AB85" i="6"/>
  <c r="AB62" i="6"/>
  <c r="AB90" i="6"/>
  <c r="AB58" i="6"/>
  <c r="AB56" i="6"/>
  <c r="AB86" i="6"/>
  <c r="AB82" i="6"/>
  <c r="AB83" i="6"/>
  <c r="AB88" i="6"/>
  <c r="AB61" i="6"/>
  <c r="AB63" i="6"/>
  <c r="AB64" i="6"/>
  <c r="X98" i="4"/>
  <c r="AA114" i="4"/>
  <c r="X52" i="4"/>
  <c r="AC83" i="4"/>
  <c r="AC76" i="4"/>
  <c r="AB77" i="4"/>
  <c r="AC85" i="4"/>
  <c r="AA112" i="4"/>
  <c r="AB81" i="4"/>
  <c r="AB87" i="4"/>
  <c r="AA119" i="4"/>
  <c r="AB90" i="4"/>
  <c r="AA116" i="4"/>
  <c r="AB88" i="4"/>
  <c r="AB75" i="4"/>
  <c r="AC78" i="4"/>
  <c r="AA118" i="4"/>
  <c r="Y41" i="4"/>
  <c r="Y105" i="4" s="1"/>
  <c r="Y44" i="4"/>
  <c r="Y108" i="4" s="1"/>
  <c r="Y43" i="4"/>
  <c r="Y107" i="4" s="1"/>
  <c r="Y38" i="4"/>
  <c r="Y102" i="4" s="1"/>
  <c r="Y28" i="4"/>
  <c r="Y68" i="4" s="1"/>
  <c r="Y24" i="4"/>
  <c r="Y64" i="4" s="1"/>
  <c r="Y20" i="4"/>
  <c r="Y60" i="4" s="1"/>
  <c r="Y36" i="4"/>
  <c r="Y100" i="4" s="1"/>
  <c r="Y30" i="4"/>
  <c r="Y70" i="4" s="1"/>
  <c r="Y26" i="4"/>
  <c r="Y66" i="4" s="1"/>
  <c r="Y22" i="4"/>
  <c r="Y62" i="4" s="1"/>
  <c r="Y18" i="4"/>
  <c r="Y58" i="4" s="1"/>
  <c r="Y40" i="4"/>
  <c r="Y104" i="4" s="1"/>
  <c r="Y39" i="4"/>
  <c r="Y103" i="4" s="1"/>
  <c r="Y35" i="4"/>
  <c r="Y99" i="4" s="1"/>
  <c r="Y25" i="4"/>
  <c r="Y65" i="4" s="1"/>
  <c r="Y17" i="4"/>
  <c r="Y57" i="4" s="1"/>
  <c r="Y16" i="4"/>
  <c r="Y56" i="4" s="1"/>
  <c r="Y15" i="4"/>
  <c r="Y55" i="4" s="1"/>
  <c r="Y14" i="4"/>
  <c r="Y54" i="4" s="1"/>
  <c r="Y31" i="4"/>
  <c r="Y71" i="4" s="1"/>
  <c r="Y23" i="4"/>
  <c r="Y63" i="4" s="1"/>
  <c r="Y42" i="4"/>
  <c r="Y106" i="4" s="1"/>
  <c r="Y29" i="4"/>
  <c r="Y69" i="4" s="1"/>
  <c r="Y21" i="4"/>
  <c r="Y61" i="4" s="1"/>
  <c r="Y13" i="4"/>
  <c r="Y53" i="4" s="1"/>
  <c r="Y37" i="4"/>
  <c r="Y101" i="4" s="1"/>
  <c r="Y32" i="4"/>
  <c r="Y72" i="4" s="1"/>
  <c r="Y27" i="4"/>
  <c r="Y67" i="4" s="1"/>
  <c r="Y19" i="4"/>
  <c r="Y59" i="4" s="1"/>
  <c r="AB80" i="4"/>
  <c r="AB94" i="4"/>
  <c r="AA113" i="4"/>
  <c r="AC84" i="4"/>
  <c r="AB92" i="4"/>
  <c r="AA111" i="4"/>
  <c r="AA117" i="4"/>
  <c r="AB79" i="4"/>
  <c r="AA120" i="4"/>
  <c r="AB89" i="4"/>
  <c r="AC93" i="4"/>
  <c r="AB86" i="4"/>
  <c r="AB82" i="4"/>
  <c r="AA115" i="4"/>
  <c r="AC91" i="4"/>
  <c r="AE43" i="3"/>
  <c r="AE59" i="3"/>
  <c r="AD44" i="3"/>
  <c r="AF42" i="3"/>
  <c r="Y24" i="3"/>
  <c r="Y53" i="3" s="1"/>
  <c r="Y17" i="3"/>
  <c r="Y37" i="3" s="1"/>
  <c r="Y16" i="3"/>
  <c r="Y36" i="3" s="1"/>
  <c r="Y22" i="3"/>
  <c r="Y51" i="3" s="1"/>
  <c r="Y13" i="3"/>
  <c r="Y33" i="3" s="1"/>
  <c r="Y15" i="3"/>
  <c r="Y35" i="3" s="1"/>
  <c r="Y14" i="3"/>
  <c r="Y34" i="3" s="1"/>
  <c r="Y23" i="3"/>
  <c r="Y52" i="3" s="1"/>
  <c r="Y21" i="3"/>
  <c r="Y50" i="3" s="1"/>
  <c r="Y20" i="3"/>
  <c r="Y49" i="3" s="1"/>
  <c r="Z3" i="4"/>
  <c r="Z3" i="6"/>
  <c r="Y5" i="4"/>
  <c r="Y5" i="6"/>
  <c r="BH226" i="1"/>
  <c r="BH224" i="1"/>
  <c r="BH222" i="1"/>
  <c r="BH227" i="1"/>
  <c r="BH221" i="1"/>
  <c r="BH223" i="1"/>
  <c r="BH219" i="1"/>
  <c r="BH225" i="1"/>
  <c r="BH220" i="1"/>
  <c r="BH218" i="1"/>
  <c r="BH199" i="1"/>
  <c r="BH197" i="1"/>
  <c r="BH193" i="1"/>
  <c r="BH201" i="1"/>
  <c r="BH200" i="1"/>
  <c r="BH198" i="1"/>
  <c r="BH192" i="1"/>
  <c r="BH196" i="1"/>
  <c r="BH195" i="1"/>
  <c r="BH194" i="1"/>
  <c r="BH137" i="1"/>
  <c r="BH134" i="1"/>
  <c r="BH131" i="1"/>
  <c r="BH135" i="1"/>
  <c r="BH136" i="1"/>
  <c r="BH129" i="1"/>
  <c r="BH128" i="1"/>
  <c r="W28" i="3"/>
  <c r="X32" i="3"/>
  <c r="AD58" i="3"/>
  <c r="X48" i="3"/>
  <c r="Z41" i="3"/>
  <c r="AD40" i="3"/>
  <c r="AD60" i="3"/>
  <c r="AD57" i="3"/>
  <c r="Z56" i="3"/>
  <c r="BI23" i="12"/>
  <c r="BH111" i="1"/>
  <c r="BH110" i="1"/>
  <c r="BH109" i="1"/>
  <c r="BH108" i="1"/>
  <c r="BH107" i="1"/>
  <c r="BH106" i="1"/>
  <c r="BH105" i="1"/>
  <c r="BH104" i="1"/>
  <c r="BH103" i="1"/>
  <c r="BH100" i="1"/>
  <c r="BH101" i="1"/>
  <c r="BH102" i="1"/>
  <c r="BH98" i="1"/>
  <c r="BH96" i="1"/>
  <c r="BH99" i="1"/>
  <c r="Z5" i="1"/>
  <c r="Y5" i="3"/>
  <c r="AA3" i="1"/>
  <c r="Z3" i="3"/>
  <c r="BI63" i="1" l="1"/>
  <c r="BI99" i="1"/>
  <c r="BI103" i="1"/>
  <c r="BI107" i="1"/>
  <c r="BI111" i="1"/>
  <c r="BI131" i="1"/>
  <c r="BI137" i="1"/>
  <c r="BI195" i="1"/>
  <c r="BI199" i="1"/>
  <c r="BI219" i="1"/>
  <c r="BI223" i="1"/>
  <c r="BI227" i="1"/>
  <c r="BI60" i="1"/>
  <c r="BI62" i="1"/>
  <c r="BI96" i="1"/>
  <c r="BI98" i="1"/>
  <c r="BI100" i="1"/>
  <c r="BI102" i="1"/>
  <c r="BI104" i="1"/>
  <c r="BI106" i="1"/>
  <c r="BI108" i="1"/>
  <c r="BI110" i="1"/>
  <c r="BI128" i="1"/>
  <c r="BI134" i="1"/>
  <c r="BI136" i="1"/>
  <c r="BI192" i="1"/>
  <c r="BI194" i="1"/>
  <c r="BI196" i="1"/>
  <c r="BI198" i="1"/>
  <c r="BI200" i="1"/>
  <c r="BI218" i="1"/>
  <c r="BI220" i="1"/>
  <c r="BI222" i="1"/>
  <c r="BI224" i="1"/>
  <c r="BI226" i="1"/>
  <c r="BI61" i="1"/>
  <c r="BI101" i="1"/>
  <c r="BI105" i="1"/>
  <c r="BI109" i="1"/>
  <c r="BI129" i="1"/>
  <c r="BI135" i="1"/>
  <c r="BI193" i="1"/>
  <c r="BI197" i="1"/>
  <c r="BI201" i="1"/>
  <c r="BI221" i="1"/>
  <c r="BI225" i="1"/>
  <c r="AA3" i="12"/>
  <c r="AA4" i="1"/>
  <c r="Z3" i="11"/>
  <c r="Z4" i="12"/>
  <c r="Z4" i="3"/>
  <c r="Y4" i="11"/>
  <c r="Z4" i="6"/>
  <c r="Z4" i="4"/>
  <c r="Z5" i="12"/>
  <c r="Y5" i="11"/>
  <c r="BI24" i="12"/>
  <c r="U10" i="11"/>
  <c r="U17" i="11" s="1"/>
  <c r="V13" i="11"/>
  <c r="V11" i="11"/>
  <c r="V12" i="11"/>
  <c r="Y68" i="6"/>
  <c r="X38" i="6"/>
  <c r="Y42" i="6"/>
  <c r="X48" i="4"/>
  <c r="Z32" i="6"/>
  <c r="Z76" i="6" s="1"/>
  <c r="Z31" i="6"/>
  <c r="Z75" i="6" s="1"/>
  <c r="Z34" i="6"/>
  <c r="Z78" i="6" s="1"/>
  <c r="Z30" i="6"/>
  <c r="Z74" i="6" s="1"/>
  <c r="Z33" i="6"/>
  <c r="Z77" i="6" s="1"/>
  <c r="Z29" i="6"/>
  <c r="Z73" i="6" s="1"/>
  <c r="Z25" i="6"/>
  <c r="Z69" i="6" s="1"/>
  <c r="Z28" i="6"/>
  <c r="Z72" i="6" s="1"/>
  <c r="Z27" i="6"/>
  <c r="Z71" i="6" s="1"/>
  <c r="Z22" i="6"/>
  <c r="Z52" i="6" s="1"/>
  <c r="Z18" i="6"/>
  <c r="Z48" i="6" s="1"/>
  <c r="Z26" i="6"/>
  <c r="Z70" i="6" s="1"/>
  <c r="Z21" i="6"/>
  <c r="Z51" i="6" s="1"/>
  <c r="Z20" i="6"/>
  <c r="Z50" i="6" s="1"/>
  <c r="Z16" i="6"/>
  <c r="Z46" i="6" s="1"/>
  <c r="Z17" i="6"/>
  <c r="Z47" i="6" s="1"/>
  <c r="Z15" i="6"/>
  <c r="Z45" i="6" s="1"/>
  <c r="Z14" i="6"/>
  <c r="Z44" i="6" s="1"/>
  <c r="Z19" i="6"/>
  <c r="Z49" i="6" s="1"/>
  <c r="Z13" i="6"/>
  <c r="Z43" i="6" s="1"/>
  <c r="AC64" i="6"/>
  <c r="AC61" i="6"/>
  <c r="AC83" i="6"/>
  <c r="AC86" i="6"/>
  <c r="AC58" i="6"/>
  <c r="AC62" i="6"/>
  <c r="AC87" i="6"/>
  <c r="AC57" i="6"/>
  <c r="AC55" i="6"/>
  <c r="AC81" i="6"/>
  <c r="AC63" i="6"/>
  <c r="AC88" i="6"/>
  <c r="AC82" i="6"/>
  <c r="AC56" i="6"/>
  <c r="AC90" i="6"/>
  <c r="AC85" i="6"/>
  <c r="AC89" i="6"/>
  <c r="AC60" i="6"/>
  <c r="AC59" i="6"/>
  <c r="AC84" i="6"/>
  <c r="Y98" i="4"/>
  <c r="Y52" i="4"/>
  <c r="AD78" i="4"/>
  <c r="AC88" i="4"/>
  <c r="AC90" i="4"/>
  <c r="AC87" i="4"/>
  <c r="AB112" i="4"/>
  <c r="AC77" i="4"/>
  <c r="AD83" i="4"/>
  <c r="AC82" i="4"/>
  <c r="AB120" i="4"/>
  <c r="AC92" i="4"/>
  <c r="AB115" i="4"/>
  <c r="AC86" i="4"/>
  <c r="AC89" i="4"/>
  <c r="AC79" i="4"/>
  <c r="AB111" i="4"/>
  <c r="AD84" i="4"/>
  <c r="AC94" i="4"/>
  <c r="AB114" i="4"/>
  <c r="AD91" i="4"/>
  <c r="AD93" i="4"/>
  <c r="AB117" i="4"/>
  <c r="AB113" i="4"/>
  <c r="AC80" i="4"/>
  <c r="Z44" i="4"/>
  <c r="Z108" i="4" s="1"/>
  <c r="Z40" i="4"/>
  <c r="Z104" i="4" s="1"/>
  <c r="Z43" i="4"/>
  <c r="Z107" i="4" s="1"/>
  <c r="Z37" i="4"/>
  <c r="Z101" i="4" s="1"/>
  <c r="Z32" i="4"/>
  <c r="Z72" i="4" s="1"/>
  <c r="Z31" i="4"/>
  <c r="Z71" i="4" s="1"/>
  <c r="Z27" i="4"/>
  <c r="Z67" i="4" s="1"/>
  <c r="Z23" i="4"/>
  <c r="Z63" i="4" s="1"/>
  <c r="Z19" i="4"/>
  <c r="Z59" i="4" s="1"/>
  <c r="Z42" i="4"/>
  <c r="Z106" i="4" s="1"/>
  <c r="Z39" i="4"/>
  <c r="Z103" i="4" s="1"/>
  <c r="Z35" i="4"/>
  <c r="Z99" i="4" s="1"/>
  <c r="Z29" i="4"/>
  <c r="Z69" i="4" s="1"/>
  <c r="Z25" i="4"/>
  <c r="Z65" i="4" s="1"/>
  <c r="Z21" i="4"/>
  <c r="Z61" i="4" s="1"/>
  <c r="Z17" i="4"/>
  <c r="Z57" i="4" s="1"/>
  <c r="Z38" i="4"/>
  <c r="Z102" i="4" s="1"/>
  <c r="Z28" i="4"/>
  <c r="Z68" i="4" s="1"/>
  <c r="Z20" i="4"/>
  <c r="Z60" i="4" s="1"/>
  <c r="Z14" i="4"/>
  <c r="Z54" i="4" s="1"/>
  <c r="Z18" i="4"/>
  <c r="Z58" i="4" s="1"/>
  <c r="Z13" i="4"/>
  <c r="Z53" i="4" s="1"/>
  <c r="Z15" i="4"/>
  <c r="Z55" i="4" s="1"/>
  <c r="Z36" i="4"/>
  <c r="Z100" i="4" s="1"/>
  <c r="Z26" i="4"/>
  <c r="Z66" i="4" s="1"/>
  <c r="Z24" i="4"/>
  <c r="Z64" i="4" s="1"/>
  <c r="Z41" i="4"/>
  <c r="Z105" i="4" s="1"/>
  <c r="Z30" i="4"/>
  <c r="Z70" i="4" s="1"/>
  <c r="Z22" i="4"/>
  <c r="Z62" i="4" s="1"/>
  <c r="Z16" i="4"/>
  <c r="Z56" i="4" s="1"/>
  <c r="AB118" i="4"/>
  <c r="AC75" i="4"/>
  <c r="AB116" i="4"/>
  <c r="AB119" i="4"/>
  <c r="AC81" i="4"/>
  <c r="AD85" i="4"/>
  <c r="AD76" i="4"/>
  <c r="AF59" i="3"/>
  <c r="AF43" i="3"/>
  <c r="AG42" i="3"/>
  <c r="AE44" i="3"/>
  <c r="Z23" i="3"/>
  <c r="Z52" i="3" s="1"/>
  <c r="Z20" i="3"/>
  <c r="Z49" i="3" s="1"/>
  <c r="Z17" i="3"/>
  <c r="Z37" i="3" s="1"/>
  <c r="Z15" i="3"/>
  <c r="Z35" i="3" s="1"/>
  <c r="Z14" i="3"/>
  <c r="Z34" i="3" s="1"/>
  <c r="Z22" i="3"/>
  <c r="Z51" i="3" s="1"/>
  <c r="Z24" i="3"/>
  <c r="Z53" i="3" s="1"/>
  <c r="Z21" i="3"/>
  <c r="Z50" i="3" s="1"/>
  <c r="Z16" i="3"/>
  <c r="Z36" i="3" s="1"/>
  <c r="Z13" i="3"/>
  <c r="Z33" i="3" s="1"/>
  <c r="Z5" i="4"/>
  <c r="Z5" i="6"/>
  <c r="AA3" i="6"/>
  <c r="AA3" i="4"/>
  <c r="Y32" i="3"/>
  <c r="AE57" i="3"/>
  <c r="Y48" i="3"/>
  <c r="AE58" i="3"/>
  <c r="X28" i="3"/>
  <c r="AA56" i="3"/>
  <c r="AE60" i="3"/>
  <c r="AA41" i="3"/>
  <c r="AE40" i="3"/>
  <c r="BJ23" i="12"/>
  <c r="AB3" i="1"/>
  <c r="AA3" i="3"/>
  <c r="AA5" i="1"/>
  <c r="Z5" i="3"/>
  <c r="AA5" i="12" l="1"/>
  <c r="Z5" i="11"/>
  <c r="AA4" i="12"/>
  <c r="Z4" i="11"/>
  <c r="AA4" i="6"/>
  <c r="AA4" i="4"/>
  <c r="AA4" i="3"/>
  <c r="AB3" i="12"/>
  <c r="AB4" i="1"/>
  <c r="AA3" i="11"/>
  <c r="BJ24" i="12"/>
  <c r="V10" i="11"/>
  <c r="V17" i="11" s="1"/>
  <c r="W13" i="11"/>
  <c r="W12" i="11"/>
  <c r="W11" i="11"/>
  <c r="Y48" i="4"/>
  <c r="BJ60" i="1"/>
  <c r="BJ63" i="1"/>
  <c r="BJ62" i="1"/>
  <c r="BJ61" i="1"/>
  <c r="Y38" i="6"/>
  <c r="Z42" i="6"/>
  <c r="AA31" i="6"/>
  <c r="AA75" i="6" s="1"/>
  <c r="AA34" i="6"/>
  <c r="AA78" i="6" s="1"/>
  <c r="AA30" i="6"/>
  <c r="AA74" i="6" s="1"/>
  <c r="AA33" i="6"/>
  <c r="AA77" i="6" s="1"/>
  <c r="AA29" i="6"/>
  <c r="AA73" i="6" s="1"/>
  <c r="AA28" i="6"/>
  <c r="AA72" i="6" s="1"/>
  <c r="AA22" i="6"/>
  <c r="AA52" i="6" s="1"/>
  <c r="AA32" i="6"/>
  <c r="AA76" i="6" s="1"/>
  <c r="AA27" i="6"/>
  <c r="AA71" i="6" s="1"/>
  <c r="AA26" i="6"/>
  <c r="AA70" i="6" s="1"/>
  <c r="AA21" i="6"/>
  <c r="AA51" i="6" s="1"/>
  <c r="AA17" i="6"/>
  <c r="AA47" i="6" s="1"/>
  <c r="AA20" i="6"/>
  <c r="AA50" i="6" s="1"/>
  <c r="AA25" i="6"/>
  <c r="AA69" i="6" s="1"/>
  <c r="AA19" i="6"/>
  <c r="AA49" i="6" s="1"/>
  <c r="AA14" i="6"/>
  <c r="AA44" i="6" s="1"/>
  <c r="AA13" i="6"/>
  <c r="AA43" i="6" s="1"/>
  <c r="AA15" i="6"/>
  <c r="AA45" i="6" s="1"/>
  <c r="AA18" i="6"/>
  <c r="AA48" i="6" s="1"/>
  <c r="AA16" i="6"/>
  <c r="AA46" i="6" s="1"/>
  <c r="Z68" i="6"/>
  <c r="AD84" i="6"/>
  <c r="AD60" i="6"/>
  <c r="AD85" i="6"/>
  <c r="AD56" i="6"/>
  <c r="AD88" i="6"/>
  <c r="AD81" i="6"/>
  <c r="AD57" i="6"/>
  <c r="AD62" i="6"/>
  <c r="AD86" i="6"/>
  <c r="AD61" i="6"/>
  <c r="AD59" i="6"/>
  <c r="AD89" i="6"/>
  <c r="AD90" i="6"/>
  <c r="AD82" i="6"/>
  <c r="AD63" i="6"/>
  <c r="AD55" i="6"/>
  <c r="AD87" i="6"/>
  <c r="AD58" i="6"/>
  <c r="AD83" i="6"/>
  <c r="AD64" i="6"/>
  <c r="Z98" i="4"/>
  <c r="AA43" i="4"/>
  <c r="AA107" i="4" s="1"/>
  <c r="AA39" i="4"/>
  <c r="AA103" i="4" s="1"/>
  <c r="AA42" i="4"/>
  <c r="AA106" i="4" s="1"/>
  <c r="AA41" i="4"/>
  <c r="AA105" i="4" s="1"/>
  <c r="AA36" i="4"/>
  <c r="AA100" i="4" s="1"/>
  <c r="AA30" i="4"/>
  <c r="AA70" i="4" s="1"/>
  <c r="AA26" i="4"/>
  <c r="AA66" i="4" s="1"/>
  <c r="AA22" i="4"/>
  <c r="AA62" i="4" s="1"/>
  <c r="AA18" i="4"/>
  <c r="AA58" i="4" s="1"/>
  <c r="AA44" i="4"/>
  <c r="AA108" i="4" s="1"/>
  <c r="AA40" i="4"/>
  <c r="AA104" i="4" s="1"/>
  <c r="AA38" i="4"/>
  <c r="AA102" i="4" s="1"/>
  <c r="AA28" i="4"/>
  <c r="AA68" i="4" s="1"/>
  <c r="AA24" i="4"/>
  <c r="AA64" i="4" s="1"/>
  <c r="AA20" i="4"/>
  <c r="AA60" i="4" s="1"/>
  <c r="AA16" i="4"/>
  <c r="AA56" i="4" s="1"/>
  <c r="AA31" i="4"/>
  <c r="AA71" i="4" s="1"/>
  <c r="AA23" i="4"/>
  <c r="AA63" i="4" s="1"/>
  <c r="AA13" i="4"/>
  <c r="AA53" i="4" s="1"/>
  <c r="AA17" i="4"/>
  <c r="AA57" i="4" s="1"/>
  <c r="AA29" i="4"/>
  <c r="AA69" i="4" s="1"/>
  <c r="AA21" i="4"/>
  <c r="AA61" i="4" s="1"/>
  <c r="AA14" i="4"/>
  <c r="AA54" i="4" s="1"/>
  <c r="AA37" i="4"/>
  <c r="AA101" i="4" s="1"/>
  <c r="AA32" i="4"/>
  <c r="AA72" i="4" s="1"/>
  <c r="AA27" i="4"/>
  <c r="AA67" i="4" s="1"/>
  <c r="AA19" i="4"/>
  <c r="AA59" i="4" s="1"/>
  <c r="AA15" i="4"/>
  <c r="AA55" i="4" s="1"/>
  <c r="AA35" i="4"/>
  <c r="AA99" i="4" s="1"/>
  <c r="AA25" i="4"/>
  <c r="AA65" i="4" s="1"/>
  <c r="AE76" i="4"/>
  <c r="AD81" i="4"/>
  <c r="AC116" i="4"/>
  <c r="AC118" i="4"/>
  <c r="AD92" i="4"/>
  <c r="AD82" i="4"/>
  <c r="Z52" i="4"/>
  <c r="AC113" i="4"/>
  <c r="AE93" i="4"/>
  <c r="AD94" i="4"/>
  <c r="AC111" i="4"/>
  <c r="AD89" i="4"/>
  <c r="AC115" i="4"/>
  <c r="AE83" i="4"/>
  <c r="AC112" i="4"/>
  <c r="AD90" i="4"/>
  <c r="AE78" i="4"/>
  <c r="AE85" i="4"/>
  <c r="AC119" i="4"/>
  <c r="AD75" i="4"/>
  <c r="AC120" i="4"/>
  <c r="AD80" i="4"/>
  <c r="AC117" i="4"/>
  <c r="AE91" i="4"/>
  <c r="AC114" i="4"/>
  <c r="AE84" i="4"/>
  <c r="AD79" i="4"/>
  <c r="AD86" i="4"/>
  <c r="AD77" i="4"/>
  <c r="AD87" i="4"/>
  <c r="AD88" i="4"/>
  <c r="AG43" i="3"/>
  <c r="AG59" i="3"/>
  <c r="AF44" i="3"/>
  <c r="AH42" i="3"/>
  <c r="AA24" i="3"/>
  <c r="AA53" i="3" s="1"/>
  <c r="AA22" i="3"/>
  <c r="AA51" i="3" s="1"/>
  <c r="AA21" i="3"/>
  <c r="AA50" i="3" s="1"/>
  <c r="AA17" i="3"/>
  <c r="AA37" i="3" s="1"/>
  <c r="AA16" i="3"/>
  <c r="AA36" i="3" s="1"/>
  <c r="AA15" i="3"/>
  <c r="AA35" i="3" s="1"/>
  <c r="AA13" i="3"/>
  <c r="AA33" i="3" s="1"/>
  <c r="AA20" i="3"/>
  <c r="AA49" i="3" s="1"/>
  <c r="AA23" i="3"/>
  <c r="AA52" i="3" s="1"/>
  <c r="AA14" i="3"/>
  <c r="AA34" i="3" s="1"/>
  <c r="AB3" i="6"/>
  <c r="AB3" i="4"/>
  <c r="AA5" i="6"/>
  <c r="AA5" i="4"/>
  <c r="BJ227" i="1"/>
  <c r="BJ225" i="1"/>
  <c r="BJ223" i="1"/>
  <c r="BJ221" i="1"/>
  <c r="BJ224" i="1"/>
  <c r="BJ222" i="1"/>
  <c r="BJ226" i="1"/>
  <c r="BJ218" i="1"/>
  <c r="BJ220" i="1"/>
  <c r="BJ219" i="1"/>
  <c r="BJ201" i="1"/>
  <c r="BJ200" i="1"/>
  <c r="BJ199" i="1"/>
  <c r="BJ195" i="1"/>
  <c r="BJ198" i="1"/>
  <c r="BJ197" i="1"/>
  <c r="BJ196" i="1"/>
  <c r="BJ194" i="1"/>
  <c r="BJ193" i="1"/>
  <c r="BJ192" i="1"/>
  <c r="BJ136" i="1"/>
  <c r="BJ135" i="1"/>
  <c r="BJ134" i="1"/>
  <c r="BJ131" i="1"/>
  <c r="BJ137" i="1"/>
  <c r="BJ129" i="1"/>
  <c r="BJ128" i="1"/>
  <c r="Z32" i="3"/>
  <c r="AB41" i="3"/>
  <c r="AB56" i="3"/>
  <c r="AF57" i="3"/>
  <c r="AF60" i="3"/>
  <c r="Z48" i="3"/>
  <c r="Y28" i="3"/>
  <c r="AF40" i="3"/>
  <c r="AF58" i="3"/>
  <c r="BJ111" i="1"/>
  <c r="BJ109" i="1"/>
  <c r="BJ107" i="1"/>
  <c r="BJ106" i="1"/>
  <c r="BJ110" i="1"/>
  <c r="BJ108" i="1"/>
  <c r="BJ104" i="1"/>
  <c r="BJ101" i="1"/>
  <c r="BJ96" i="1"/>
  <c r="BJ103" i="1"/>
  <c r="BJ102" i="1"/>
  <c r="BJ98" i="1"/>
  <c r="BJ99" i="1"/>
  <c r="BJ105" i="1"/>
  <c r="BJ100" i="1"/>
  <c r="AB5" i="1"/>
  <c r="AA5" i="3"/>
  <c r="AC3" i="1"/>
  <c r="AB3" i="3"/>
  <c r="AC3" i="12" l="1"/>
  <c r="AC4" i="1"/>
  <c r="AB3" i="11"/>
  <c r="AB5" i="12"/>
  <c r="AA5" i="11"/>
  <c r="AB4" i="12"/>
  <c r="AA4" i="11"/>
  <c r="AB4" i="6"/>
  <c r="AB4" i="4"/>
  <c r="AB4" i="3"/>
  <c r="W10" i="11"/>
  <c r="W17" i="11" s="1"/>
  <c r="X11" i="11"/>
  <c r="X13" i="11"/>
  <c r="X12" i="11"/>
  <c r="Z48" i="4"/>
  <c r="Z38" i="6"/>
  <c r="AB34" i="6"/>
  <c r="AB78" i="6" s="1"/>
  <c r="AB30" i="6"/>
  <c r="AB74" i="6" s="1"/>
  <c r="AB33" i="6"/>
  <c r="AB77" i="6" s="1"/>
  <c r="AB32" i="6"/>
  <c r="AB76" i="6" s="1"/>
  <c r="AB27" i="6"/>
  <c r="AB71" i="6" s="1"/>
  <c r="AB21" i="6"/>
  <c r="AB51" i="6" s="1"/>
  <c r="AB26" i="6"/>
  <c r="AB70" i="6" s="1"/>
  <c r="AB31" i="6"/>
  <c r="AB75" i="6" s="1"/>
  <c r="AB25" i="6"/>
  <c r="AB69" i="6" s="1"/>
  <c r="AB20" i="6"/>
  <c r="AB50" i="6" s="1"/>
  <c r="AB16" i="6"/>
  <c r="AB46" i="6" s="1"/>
  <c r="AB29" i="6"/>
  <c r="AB73" i="6" s="1"/>
  <c r="AB19" i="6"/>
  <c r="AB49" i="6" s="1"/>
  <c r="AB28" i="6"/>
  <c r="AB72" i="6" s="1"/>
  <c r="AB18" i="6"/>
  <c r="AB48" i="6" s="1"/>
  <c r="AB13" i="6"/>
  <c r="AB43" i="6" s="1"/>
  <c r="AB22" i="6"/>
  <c r="AB52" i="6" s="1"/>
  <c r="AB15" i="6"/>
  <c r="AB45" i="6" s="1"/>
  <c r="AB17" i="6"/>
  <c r="AB47" i="6" s="1"/>
  <c r="AB14" i="6"/>
  <c r="AB44" i="6" s="1"/>
  <c r="AA68" i="6"/>
  <c r="AA42" i="6"/>
  <c r="AE58" i="6"/>
  <c r="AE82" i="6"/>
  <c r="AE61" i="6"/>
  <c r="AE81" i="6"/>
  <c r="AE56" i="6"/>
  <c r="AE64" i="6"/>
  <c r="AE55" i="6"/>
  <c r="AE89" i="6"/>
  <c r="AE62" i="6"/>
  <c r="AE60" i="6"/>
  <c r="AE83" i="6"/>
  <c r="AE87" i="6"/>
  <c r="AE63" i="6"/>
  <c r="AE90" i="6"/>
  <c r="AE59" i="6"/>
  <c r="AE86" i="6"/>
  <c r="AE57" i="6"/>
  <c r="AE88" i="6"/>
  <c r="AE85" i="6"/>
  <c r="AE84" i="6"/>
  <c r="AA98" i="4"/>
  <c r="AE79" i="4"/>
  <c r="AD116" i="4"/>
  <c r="AF76" i="4"/>
  <c r="AB42" i="4"/>
  <c r="AB106" i="4" s="1"/>
  <c r="AB41" i="4"/>
  <c r="AB105" i="4" s="1"/>
  <c r="AB44" i="4"/>
  <c r="AB108" i="4" s="1"/>
  <c r="AB35" i="4"/>
  <c r="AB99" i="4" s="1"/>
  <c r="AB29" i="4"/>
  <c r="AB69" i="4" s="1"/>
  <c r="AB25" i="4"/>
  <c r="AB65" i="4" s="1"/>
  <c r="AB21" i="4"/>
  <c r="AB61" i="4" s="1"/>
  <c r="AB17" i="4"/>
  <c r="AB57" i="4" s="1"/>
  <c r="AB37" i="4"/>
  <c r="AB101" i="4" s="1"/>
  <c r="AB32" i="4"/>
  <c r="AB72" i="4" s="1"/>
  <c r="AB31" i="4"/>
  <c r="AB71" i="4" s="1"/>
  <c r="AB27" i="4"/>
  <c r="AB67" i="4" s="1"/>
  <c r="AB23" i="4"/>
  <c r="AB63" i="4" s="1"/>
  <c r="AB19" i="4"/>
  <c r="AB59" i="4" s="1"/>
  <c r="AB36" i="4"/>
  <c r="AB100" i="4" s="1"/>
  <c r="AB26" i="4"/>
  <c r="AB66" i="4" s="1"/>
  <c r="AB18" i="4"/>
  <c r="AB58" i="4" s="1"/>
  <c r="AB15" i="4"/>
  <c r="AB55" i="4" s="1"/>
  <c r="AB13" i="4"/>
  <c r="AB53" i="4" s="1"/>
  <c r="AB24" i="4"/>
  <c r="AB64" i="4" s="1"/>
  <c r="AB43" i="4"/>
  <c r="AB107" i="4" s="1"/>
  <c r="AB30" i="4"/>
  <c r="AB70" i="4" s="1"/>
  <c r="AB22" i="4"/>
  <c r="AB62" i="4" s="1"/>
  <c r="AB16" i="4"/>
  <c r="AB56" i="4" s="1"/>
  <c r="AB14" i="4"/>
  <c r="AB54" i="4" s="1"/>
  <c r="AB40" i="4"/>
  <c r="AB104" i="4" s="1"/>
  <c r="AB39" i="4"/>
  <c r="AB103" i="4" s="1"/>
  <c r="AB38" i="4"/>
  <c r="AB102" i="4" s="1"/>
  <c r="AB28" i="4"/>
  <c r="AB68" i="4" s="1"/>
  <c r="AB20" i="4"/>
  <c r="AB60" i="4" s="1"/>
  <c r="AE89" i="4"/>
  <c r="AE94" i="4"/>
  <c r="AD113" i="4"/>
  <c r="AE88" i="4"/>
  <c r="AD117" i="4"/>
  <c r="AE92" i="4"/>
  <c r="AD119" i="4"/>
  <c r="AF83" i="4"/>
  <c r="AE87" i="4"/>
  <c r="AE86" i="4"/>
  <c r="AF84" i="4"/>
  <c r="AF91" i="4"/>
  <c r="AE80" i="4"/>
  <c r="AE82" i="4"/>
  <c r="AD118" i="4"/>
  <c r="AE81" i="4"/>
  <c r="AE77" i="4"/>
  <c r="AD114" i="4"/>
  <c r="AA52" i="4"/>
  <c r="AD120" i="4"/>
  <c r="AE90" i="4"/>
  <c r="AE75" i="4"/>
  <c r="AF85" i="4"/>
  <c r="AF78" i="4"/>
  <c r="AD112" i="4"/>
  <c r="AD115" i="4"/>
  <c r="AD111" i="4"/>
  <c r="AF93" i="4"/>
  <c r="AH59" i="3"/>
  <c r="AH43" i="3"/>
  <c r="AI42" i="3"/>
  <c r="AG44" i="3"/>
  <c r="AB21" i="3"/>
  <c r="AB50" i="3" s="1"/>
  <c r="AB20" i="3"/>
  <c r="AB49" i="3" s="1"/>
  <c r="AB23" i="3"/>
  <c r="AB52" i="3" s="1"/>
  <c r="AB22" i="3"/>
  <c r="AB51" i="3" s="1"/>
  <c r="AB24" i="3"/>
  <c r="AB53" i="3" s="1"/>
  <c r="AB16" i="3"/>
  <c r="AB36" i="3" s="1"/>
  <c r="AB14" i="3"/>
  <c r="AB34" i="3" s="1"/>
  <c r="AB17" i="3"/>
  <c r="AB37" i="3" s="1"/>
  <c r="AB15" i="3"/>
  <c r="AB35" i="3" s="1"/>
  <c r="AB13" i="3"/>
  <c r="AB33" i="3" s="1"/>
  <c r="AB5" i="6"/>
  <c r="AB5" i="4"/>
  <c r="AC3" i="4"/>
  <c r="AC3" i="6"/>
  <c r="AA32" i="3"/>
  <c r="AA48" i="3"/>
  <c r="AG40" i="3"/>
  <c r="AC41" i="3"/>
  <c r="AG58" i="3"/>
  <c r="AG60" i="3"/>
  <c r="AG57" i="3"/>
  <c r="AC56" i="3"/>
  <c r="Z28" i="3"/>
  <c r="AD3" i="1"/>
  <c r="AC3" i="3"/>
  <c r="AC5" i="1"/>
  <c r="AB5" i="3"/>
  <c r="AA48" i="4" l="1"/>
  <c r="Z12" i="11" s="1"/>
  <c r="AD3" i="12"/>
  <c r="AD4" i="1"/>
  <c r="AC3" i="11"/>
  <c r="AC5" i="12"/>
  <c r="AB5" i="11"/>
  <c r="AC4" i="12"/>
  <c r="AB4" i="11"/>
  <c r="AC4" i="6"/>
  <c r="AC4" i="4"/>
  <c r="AC4" i="3"/>
  <c r="X10" i="11"/>
  <c r="X17" i="11" s="1"/>
  <c r="Y12" i="11"/>
  <c r="Y13" i="11"/>
  <c r="Y11" i="11"/>
  <c r="AB42" i="6"/>
  <c r="AA38" i="6"/>
  <c r="AC33" i="6"/>
  <c r="AC77" i="6" s="1"/>
  <c r="AC29" i="6"/>
  <c r="AC73" i="6" s="1"/>
  <c r="AC32" i="6"/>
  <c r="AC76" i="6" s="1"/>
  <c r="AC31" i="6"/>
  <c r="AC75" i="6" s="1"/>
  <c r="AC26" i="6"/>
  <c r="AC70" i="6" s="1"/>
  <c r="AC25" i="6"/>
  <c r="AC69" i="6" s="1"/>
  <c r="AC34" i="6"/>
  <c r="AC78" i="6" s="1"/>
  <c r="AC28" i="6"/>
  <c r="AC72" i="6" s="1"/>
  <c r="AC22" i="6"/>
  <c r="AC52" i="6" s="1"/>
  <c r="AC19" i="6"/>
  <c r="AC49" i="6" s="1"/>
  <c r="AC15" i="6"/>
  <c r="AC45" i="6" s="1"/>
  <c r="AC30" i="6"/>
  <c r="AC74" i="6" s="1"/>
  <c r="AC18" i="6"/>
  <c r="AC48" i="6" s="1"/>
  <c r="AC17" i="6"/>
  <c r="AC47" i="6" s="1"/>
  <c r="AC27" i="6"/>
  <c r="AC71" i="6" s="1"/>
  <c r="AC20" i="6"/>
  <c r="AC50" i="6" s="1"/>
  <c r="AC16" i="6"/>
  <c r="AC46" i="6" s="1"/>
  <c r="AC21" i="6"/>
  <c r="AC51" i="6" s="1"/>
  <c r="AC14" i="6"/>
  <c r="AC44" i="6" s="1"/>
  <c r="AC13" i="6"/>
  <c r="AC43" i="6" s="1"/>
  <c r="AB68" i="6"/>
  <c r="AF86" i="6"/>
  <c r="AF87" i="6"/>
  <c r="AF60" i="6"/>
  <c r="AF64" i="6"/>
  <c r="AF81" i="6"/>
  <c r="AF84" i="6"/>
  <c r="AF88" i="6"/>
  <c r="AF90" i="6"/>
  <c r="AF89" i="6"/>
  <c r="AF82" i="6"/>
  <c r="AF85" i="6"/>
  <c r="AF57" i="6"/>
  <c r="AF59" i="6"/>
  <c r="AF63" i="6"/>
  <c r="AF83" i="6"/>
  <c r="AF62" i="6"/>
  <c r="AF55" i="6"/>
  <c r="AF56" i="6"/>
  <c r="AF61" i="6"/>
  <c r="AF58" i="6"/>
  <c r="AB98" i="4"/>
  <c r="AG93" i="4"/>
  <c r="AF87" i="4"/>
  <c r="AE117" i="4"/>
  <c r="AE116" i="4"/>
  <c r="AG78" i="4"/>
  <c r="AF80" i="4"/>
  <c r="AE119" i="4"/>
  <c r="AE115" i="4"/>
  <c r="AE118" i="4"/>
  <c r="AC41" i="4"/>
  <c r="AC105" i="4" s="1"/>
  <c r="AC44" i="4"/>
  <c r="AC108" i="4" s="1"/>
  <c r="AC43" i="4"/>
  <c r="AC107" i="4" s="1"/>
  <c r="AC40" i="4"/>
  <c r="AC104" i="4" s="1"/>
  <c r="AC39" i="4"/>
  <c r="AC103" i="4" s="1"/>
  <c r="AC38" i="4"/>
  <c r="AC102" i="4" s="1"/>
  <c r="AC28" i="4"/>
  <c r="AC68" i="4" s="1"/>
  <c r="AC24" i="4"/>
  <c r="AC64" i="4" s="1"/>
  <c r="AC20" i="4"/>
  <c r="AC60" i="4" s="1"/>
  <c r="AC36" i="4"/>
  <c r="AC100" i="4" s="1"/>
  <c r="AC30" i="4"/>
  <c r="AC70" i="4" s="1"/>
  <c r="AC26" i="4"/>
  <c r="AC66" i="4" s="1"/>
  <c r="AC22" i="4"/>
  <c r="AC62" i="4" s="1"/>
  <c r="AC18" i="4"/>
  <c r="AC58" i="4" s="1"/>
  <c r="AC29" i="4"/>
  <c r="AC69" i="4" s="1"/>
  <c r="AC21" i="4"/>
  <c r="AC61" i="4" s="1"/>
  <c r="AC15" i="4"/>
  <c r="AC55" i="4" s="1"/>
  <c r="AC19" i="4"/>
  <c r="AC59" i="4" s="1"/>
  <c r="AC16" i="4"/>
  <c r="AC56" i="4" s="1"/>
  <c r="AC42" i="4"/>
  <c r="AC106" i="4" s="1"/>
  <c r="AC37" i="4"/>
  <c r="AC101" i="4" s="1"/>
  <c r="AC32" i="4"/>
  <c r="AC72" i="4" s="1"/>
  <c r="AC27" i="4"/>
  <c r="AC67" i="4" s="1"/>
  <c r="AC14" i="4"/>
  <c r="AC54" i="4" s="1"/>
  <c r="AC35" i="4"/>
  <c r="AC99" i="4" s="1"/>
  <c r="AC25" i="4"/>
  <c r="AC65" i="4" s="1"/>
  <c r="AC17" i="4"/>
  <c r="AC57" i="4" s="1"/>
  <c r="AC13" i="4"/>
  <c r="AC53" i="4" s="1"/>
  <c r="AC31" i="4"/>
  <c r="AC71" i="4" s="1"/>
  <c r="AC23" i="4"/>
  <c r="AC63" i="4" s="1"/>
  <c r="AE111" i="4"/>
  <c r="AE112" i="4"/>
  <c r="AG85" i="4"/>
  <c r="AF81" i="4"/>
  <c r="AF82" i="4"/>
  <c r="AG91" i="4"/>
  <c r="AF86" i="4"/>
  <c r="AF92" i="4"/>
  <c r="AF88" i="4"/>
  <c r="AE113" i="4"/>
  <c r="AF89" i="4"/>
  <c r="AB52" i="4"/>
  <c r="AG76" i="4"/>
  <c r="AF79" i="4"/>
  <c r="AF75" i="4"/>
  <c r="AG84" i="4"/>
  <c r="AF94" i="4"/>
  <c r="AE120" i="4"/>
  <c r="AF77" i="4"/>
  <c r="AF90" i="4"/>
  <c r="AE114" i="4"/>
  <c r="AG83" i="4"/>
  <c r="AI43" i="3"/>
  <c r="AI59" i="3"/>
  <c r="AH44" i="3"/>
  <c r="AJ42" i="3"/>
  <c r="AC24" i="3"/>
  <c r="AC53" i="3" s="1"/>
  <c r="AC17" i="3"/>
  <c r="AC37" i="3" s="1"/>
  <c r="AC16" i="3"/>
  <c r="AC36" i="3" s="1"/>
  <c r="AC23" i="3"/>
  <c r="AC52" i="3" s="1"/>
  <c r="AC21" i="3"/>
  <c r="AC50" i="3" s="1"/>
  <c r="AC15" i="3"/>
  <c r="AC35" i="3" s="1"/>
  <c r="AC20" i="3"/>
  <c r="AC49" i="3" s="1"/>
  <c r="AC14" i="3"/>
  <c r="AC34" i="3" s="1"/>
  <c r="AC22" i="3"/>
  <c r="AC51" i="3" s="1"/>
  <c r="AC13" i="3"/>
  <c r="AC33" i="3" s="1"/>
  <c r="AC5" i="4"/>
  <c r="AC5" i="6"/>
  <c r="AD3" i="4"/>
  <c r="AD3" i="6"/>
  <c r="AB48" i="3"/>
  <c r="AB32" i="3"/>
  <c r="AH58" i="3"/>
  <c r="AD41" i="3"/>
  <c r="AH40" i="3"/>
  <c r="AA28" i="3"/>
  <c r="AH57" i="3"/>
  <c r="AD56" i="3"/>
  <c r="AH60" i="3"/>
  <c r="AD5" i="1"/>
  <c r="AC5" i="3"/>
  <c r="AE3" i="1"/>
  <c r="AD3" i="3"/>
  <c r="AB38" i="6" l="1"/>
  <c r="AA13" i="11" s="1"/>
  <c r="AD4" i="12"/>
  <c r="AD4" i="3"/>
  <c r="AD4" i="6"/>
  <c r="AD4" i="4"/>
  <c r="AC4" i="11"/>
  <c r="AD5" i="12"/>
  <c r="AC5" i="11"/>
  <c r="AE3" i="12"/>
  <c r="AE4" i="1"/>
  <c r="AD3" i="11"/>
  <c r="Y10" i="11"/>
  <c r="Y17" i="11" s="1"/>
  <c r="Z13" i="11"/>
  <c r="Z11" i="11"/>
  <c r="AC42" i="6"/>
  <c r="AB48" i="4"/>
  <c r="AC68" i="6"/>
  <c r="AD32" i="6"/>
  <c r="AD76" i="6" s="1"/>
  <c r="AD31" i="6"/>
  <c r="AD75" i="6" s="1"/>
  <c r="AD34" i="6"/>
  <c r="AD78" i="6" s="1"/>
  <c r="AD30" i="6"/>
  <c r="AD74" i="6" s="1"/>
  <c r="AD25" i="6"/>
  <c r="AD69" i="6" s="1"/>
  <c r="AD28" i="6"/>
  <c r="AD72" i="6" s="1"/>
  <c r="AD29" i="6"/>
  <c r="AD73" i="6" s="1"/>
  <c r="AD27" i="6"/>
  <c r="AD71" i="6" s="1"/>
  <c r="AD26" i="6"/>
  <c r="AD70" i="6" s="1"/>
  <c r="AD18" i="6"/>
  <c r="AD48" i="6" s="1"/>
  <c r="AD17" i="6"/>
  <c r="AD47" i="6" s="1"/>
  <c r="AD22" i="6"/>
  <c r="AD52" i="6" s="1"/>
  <c r="AD21" i="6"/>
  <c r="AD51" i="6" s="1"/>
  <c r="AD20" i="6"/>
  <c r="AD50" i="6" s="1"/>
  <c r="AD16" i="6"/>
  <c r="AD46" i="6" s="1"/>
  <c r="AD19" i="6"/>
  <c r="AD49" i="6" s="1"/>
  <c r="AD15" i="6"/>
  <c r="AD45" i="6" s="1"/>
  <c r="AD14" i="6"/>
  <c r="AD44" i="6" s="1"/>
  <c r="AD13" i="6"/>
  <c r="AD43" i="6" s="1"/>
  <c r="AD33" i="6"/>
  <c r="AD77" i="6" s="1"/>
  <c r="AG58" i="6"/>
  <c r="AG63" i="6"/>
  <c r="AG82" i="6"/>
  <c r="AG84" i="6"/>
  <c r="AG64" i="6"/>
  <c r="AG56" i="6"/>
  <c r="AG62" i="6"/>
  <c r="AG57" i="6"/>
  <c r="AG90" i="6"/>
  <c r="AG87" i="6"/>
  <c r="AG61" i="6"/>
  <c r="AG55" i="6"/>
  <c r="AG83" i="6"/>
  <c r="AG59" i="6"/>
  <c r="AG85" i="6"/>
  <c r="AG89" i="6"/>
  <c r="AG88" i="6"/>
  <c r="AG81" i="6"/>
  <c r="AG60" i="6"/>
  <c r="AG86" i="6"/>
  <c r="AC98" i="4"/>
  <c r="AF114" i="4"/>
  <c r="AF113" i="4"/>
  <c r="AG92" i="4"/>
  <c r="AH91" i="4"/>
  <c r="AG81" i="4"/>
  <c r="AF112" i="4"/>
  <c r="AF115" i="4"/>
  <c r="AG80" i="4"/>
  <c r="AF116" i="4"/>
  <c r="AG87" i="4"/>
  <c r="AG77" i="4"/>
  <c r="AG75" i="4"/>
  <c r="AH83" i="4"/>
  <c r="AG90" i="4"/>
  <c r="AF120" i="4"/>
  <c r="AH84" i="4"/>
  <c r="AG79" i="4"/>
  <c r="AC52" i="4"/>
  <c r="AG94" i="4"/>
  <c r="AH76" i="4"/>
  <c r="AD44" i="4"/>
  <c r="AD108" i="4" s="1"/>
  <c r="AD40" i="4"/>
  <c r="AD104" i="4" s="1"/>
  <c r="AD43" i="4"/>
  <c r="AD107" i="4" s="1"/>
  <c r="AD42" i="4"/>
  <c r="AD106" i="4" s="1"/>
  <c r="AD37" i="4"/>
  <c r="AD101" i="4" s="1"/>
  <c r="AD32" i="4"/>
  <c r="AD72" i="4" s="1"/>
  <c r="AD31" i="4"/>
  <c r="AD71" i="4" s="1"/>
  <c r="AD27" i="4"/>
  <c r="AD67" i="4" s="1"/>
  <c r="AD23" i="4"/>
  <c r="AD63" i="4" s="1"/>
  <c r="AD19" i="4"/>
  <c r="AD59" i="4" s="1"/>
  <c r="AD35" i="4"/>
  <c r="AD99" i="4" s="1"/>
  <c r="AD29" i="4"/>
  <c r="AD69" i="4" s="1"/>
  <c r="AD25" i="4"/>
  <c r="AD65" i="4" s="1"/>
  <c r="AD21" i="4"/>
  <c r="AD61" i="4" s="1"/>
  <c r="AD17" i="4"/>
  <c r="AD57" i="4" s="1"/>
  <c r="AD24" i="4"/>
  <c r="AD64" i="4" s="1"/>
  <c r="AD16" i="4"/>
  <c r="AD56" i="4" s="1"/>
  <c r="AD14" i="4"/>
  <c r="AD54" i="4" s="1"/>
  <c r="AD13" i="4"/>
  <c r="AD53" i="4" s="1"/>
  <c r="AD18" i="4"/>
  <c r="AD58" i="4" s="1"/>
  <c r="AD30" i="4"/>
  <c r="AD70" i="4" s="1"/>
  <c r="AD22" i="4"/>
  <c r="AD62" i="4" s="1"/>
  <c r="AD15" i="4"/>
  <c r="AD55" i="4" s="1"/>
  <c r="AD41" i="4"/>
  <c r="AD105" i="4" s="1"/>
  <c r="AD39" i="4"/>
  <c r="AD103" i="4" s="1"/>
  <c r="AD38" i="4"/>
  <c r="AD102" i="4" s="1"/>
  <c r="AD28" i="4"/>
  <c r="AD68" i="4" s="1"/>
  <c r="AD20" i="4"/>
  <c r="AD60" i="4" s="1"/>
  <c r="AD36" i="4"/>
  <c r="AD100" i="4" s="1"/>
  <c r="AD26" i="4"/>
  <c r="AD66" i="4" s="1"/>
  <c r="AG89" i="4"/>
  <c r="AG88" i="4"/>
  <c r="AG86" i="4"/>
  <c r="AG82" i="4"/>
  <c r="AH85" i="4"/>
  <c r="AF111" i="4"/>
  <c r="AF118" i="4"/>
  <c r="AF119" i="4"/>
  <c r="AH78" i="4"/>
  <c r="AF117" i="4"/>
  <c r="AH93" i="4"/>
  <c r="AJ59" i="3"/>
  <c r="AJ43" i="3"/>
  <c r="AK42" i="3"/>
  <c r="AI44" i="3"/>
  <c r="AC32" i="3"/>
  <c r="AD23" i="3"/>
  <c r="AD52" i="3" s="1"/>
  <c r="AD24" i="3"/>
  <c r="AD53" i="3" s="1"/>
  <c r="AD15" i="3"/>
  <c r="AD35" i="3" s="1"/>
  <c r="AD20" i="3"/>
  <c r="AD49" i="3" s="1"/>
  <c r="AD14" i="3"/>
  <c r="AD34" i="3" s="1"/>
  <c r="AD16" i="3"/>
  <c r="AD36" i="3" s="1"/>
  <c r="AD21" i="3"/>
  <c r="AD50" i="3" s="1"/>
  <c r="AD22" i="3"/>
  <c r="AD51" i="3" s="1"/>
  <c r="AD13" i="3"/>
  <c r="AD33" i="3" s="1"/>
  <c r="AD17" i="3"/>
  <c r="AD37" i="3" s="1"/>
  <c r="AE3" i="4"/>
  <c r="AE3" i="6"/>
  <c r="AD5" i="6"/>
  <c r="AD5" i="4"/>
  <c r="AB28" i="3"/>
  <c r="AC48" i="3"/>
  <c r="AE56" i="3"/>
  <c r="AE41" i="3"/>
  <c r="AI40" i="3"/>
  <c r="AI58" i="3"/>
  <c r="AI60" i="3"/>
  <c r="AI57" i="3"/>
  <c r="AF3" i="1"/>
  <c r="AE3" i="3"/>
  <c r="AE5" i="1"/>
  <c r="AD5" i="3"/>
  <c r="AC28" i="3" l="1"/>
  <c r="AB11" i="11" s="1"/>
  <c r="AF3" i="12"/>
  <c r="AF4" i="1"/>
  <c r="AE3" i="11"/>
  <c r="AE4" i="12"/>
  <c r="AD4" i="11"/>
  <c r="AE4" i="6"/>
  <c r="AE4" i="4"/>
  <c r="AE4" i="3"/>
  <c r="AE5" i="12"/>
  <c r="AD5" i="11"/>
  <c r="Z10" i="11"/>
  <c r="Z17" i="11" s="1"/>
  <c r="AA12" i="11"/>
  <c r="AA11" i="11"/>
  <c r="AC38" i="6"/>
  <c r="AD42" i="6"/>
  <c r="AC48" i="4"/>
  <c r="AE31" i="6"/>
  <c r="AE75" i="6" s="1"/>
  <c r="AE34" i="6"/>
  <c r="AE78" i="6" s="1"/>
  <c r="AE30" i="6"/>
  <c r="AE74" i="6" s="1"/>
  <c r="AE33" i="6"/>
  <c r="AE77" i="6" s="1"/>
  <c r="AE29" i="6"/>
  <c r="AE73" i="6" s="1"/>
  <c r="AE32" i="6"/>
  <c r="AE76" i="6" s="1"/>
  <c r="AE28" i="6"/>
  <c r="AE72" i="6" s="1"/>
  <c r="AE22" i="6"/>
  <c r="AE52" i="6" s="1"/>
  <c r="AE27" i="6"/>
  <c r="AE71" i="6" s="1"/>
  <c r="AE26" i="6"/>
  <c r="AE70" i="6" s="1"/>
  <c r="AE17" i="6"/>
  <c r="AE47" i="6" s="1"/>
  <c r="AE25" i="6"/>
  <c r="AE69" i="6" s="1"/>
  <c r="AE21" i="6"/>
  <c r="AE51" i="6" s="1"/>
  <c r="AE20" i="6"/>
  <c r="AE50" i="6" s="1"/>
  <c r="AE19" i="6"/>
  <c r="AE49" i="6" s="1"/>
  <c r="AE16" i="6"/>
  <c r="AE46" i="6" s="1"/>
  <c r="AE15" i="6"/>
  <c r="AE45" i="6" s="1"/>
  <c r="AE14" i="6"/>
  <c r="AE44" i="6" s="1"/>
  <c r="AE18" i="6"/>
  <c r="AE48" i="6" s="1"/>
  <c r="AE13" i="6"/>
  <c r="AE43" i="6" s="1"/>
  <c r="AD68" i="6"/>
  <c r="AH86" i="6"/>
  <c r="AH81" i="6"/>
  <c r="AH89" i="6"/>
  <c r="AH59" i="6"/>
  <c r="AH55" i="6"/>
  <c r="AH87" i="6"/>
  <c r="AH57" i="6"/>
  <c r="AH56" i="6"/>
  <c r="AH84" i="6"/>
  <c r="AH63" i="6"/>
  <c r="AH60" i="6"/>
  <c r="AH88" i="6"/>
  <c r="AH85" i="6"/>
  <c r="AH83" i="6"/>
  <c r="AH61" i="6"/>
  <c r="AH90" i="6"/>
  <c r="AH62" i="6"/>
  <c r="AH64" i="6"/>
  <c r="AH82" i="6"/>
  <c r="AH58" i="6"/>
  <c r="AD98" i="4"/>
  <c r="AG119" i="4"/>
  <c r="AI84" i="4"/>
  <c r="AH90" i="4"/>
  <c r="AH75" i="4"/>
  <c r="AH87" i="4"/>
  <c r="AH80" i="4"/>
  <c r="AG112" i="4"/>
  <c r="AI91" i="4"/>
  <c r="AG113" i="4"/>
  <c r="AE43" i="4"/>
  <c r="AE107" i="4" s="1"/>
  <c r="AE39" i="4"/>
  <c r="AE103" i="4" s="1"/>
  <c r="AE42" i="4"/>
  <c r="AE106" i="4" s="1"/>
  <c r="AE36" i="4"/>
  <c r="AE100" i="4" s="1"/>
  <c r="AE30" i="4"/>
  <c r="AE70" i="4" s="1"/>
  <c r="AE26" i="4"/>
  <c r="AE66" i="4" s="1"/>
  <c r="AE22" i="4"/>
  <c r="AE62" i="4" s="1"/>
  <c r="AE18" i="4"/>
  <c r="AE58" i="4" s="1"/>
  <c r="AE41" i="4"/>
  <c r="AE105" i="4" s="1"/>
  <c r="AE38" i="4"/>
  <c r="AE102" i="4" s="1"/>
  <c r="AE28" i="4"/>
  <c r="AE68" i="4" s="1"/>
  <c r="AE24" i="4"/>
  <c r="AE64" i="4" s="1"/>
  <c r="AE20" i="4"/>
  <c r="AE60" i="4" s="1"/>
  <c r="AE16" i="4"/>
  <c r="AE56" i="4" s="1"/>
  <c r="AE37" i="4"/>
  <c r="AE101" i="4" s="1"/>
  <c r="AE32" i="4"/>
  <c r="AE72" i="4" s="1"/>
  <c r="AE27" i="4"/>
  <c r="AE67" i="4" s="1"/>
  <c r="AE19" i="4"/>
  <c r="AE59" i="4" s="1"/>
  <c r="AE13" i="4"/>
  <c r="AE53" i="4" s="1"/>
  <c r="AE35" i="4"/>
  <c r="AE99" i="4" s="1"/>
  <c r="AE25" i="4"/>
  <c r="AE65" i="4" s="1"/>
  <c r="AE17" i="4"/>
  <c r="AE57" i="4" s="1"/>
  <c r="AE40" i="4"/>
  <c r="AE104" i="4" s="1"/>
  <c r="AE31" i="4"/>
  <c r="AE71" i="4" s="1"/>
  <c r="AE23" i="4"/>
  <c r="AE63" i="4" s="1"/>
  <c r="AE15" i="4"/>
  <c r="AE55" i="4" s="1"/>
  <c r="AE44" i="4"/>
  <c r="AE108" i="4" s="1"/>
  <c r="AE29" i="4"/>
  <c r="AE69" i="4" s="1"/>
  <c r="AE21" i="4"/>
  <c r="AE61" i="4" s="1"/>
  <c r="AE14" i="4"/>
  <c r="AE54" i="4" s="1"/>
  <c r="AG111" i="4"/>
  <c r="AH94" i="4"/>
  <c r="AI93" i="4"/>
  <c r="AI78" i="4"/>
  <c r="AG118" i="4"/>
  <c r="AI85" i="4"/>
  <c r="AH86" i="4"/>
  <c r="AH89" i="4"/>
  <c r="AD52" i="4"/>
  <c r="AI76" i="4"/>
  <c r="AG117" i="4"/>
  <c r="AH82" i="4"/>
  <c r="AH88" i="4"/>
  <c r="AH79" i="4"/>
  <c r="AG120" i="4"/>
  <c r="AI83" i="4"/>
  <c r="AH77" i="4"/>
  <c r="AG116" i="4"/>
  <c r="AG115" i="4"/>
  <c r="AH81" i="4"/>
  <c r="AH92" i="4"/>
  <c r="AG114" i="4"/>
  <c r="AK43" i="3"/>
  <c r="AK59" i="3"/>
  <c r="AJ44" i="3"/>
  <c r="AL42" i="3"/>
  <c r="AE24" i="3"/>
  <c r="AE53" i="3" s="1"/>
  <c r="AE22" i="3"/>
  <c r="AE51" i="3" s="1"/>
  <c r="AE20" i="3"/>
  <c r="AE49" i="3" s="1"/>
  <c r="AE17" i="3"/>
  <c r="AE37" i="3" s="1"/>
  <c r="AE13" i="3"/>
  <c r="AE33" i="3" s="1"/>
  <c r="AE21" i="3"/>
  <c r="AE50" i="3" s="1"/>
  <c r="AE14" i="3"/>
  <c r="AE34" i="3" s="1"/>
  <c r="AE16" i="3"/>
  <c r="AE36" i="3" s="1"/>
  <c r="AE15" i="3"/>
  <c r="AE35" i="3" s="1"/>
  <c r="AE23" i="3"/>
  <c r="AE52" i="3" s="1"/>
  <c r="AF3" i="6"/>
  <c r="AF3" i="4"/>
  <c r="AE5" i="6"/>
  <c r="AE5" i="4"/>
  <c r="AD32" i="3"/>
  <c r="AD48" i="3"/>
  <c r="AJ60" i="3"/>
  <c r="AJ58" i="3"/>
  <c r="AF41" i="3"/>
  <c r="AF56" i="3"/>
  <c r="AJ57" i="3"/>
  <c r="AJ40" i="3"/>
  <c r="AF5" i="1"/>
  <c r="AE5" i="3"/>
  <c r="AG3" i="1"/>
  <c r="AF3" i="3"/>
  <c r="AD48" i="4" l="1"/>
  <c r="AC12" i="11" s="1"/>
  <c r="AF5" i="12"/>
  <c r="AE5" i="11"/>
  <c r="AF4" i="12"/>
  <c r="AE4" i="11"/>
  <c r="AF4" i="6"/>
  <c r="AF4" i="4"/>
  <c r="AF4" i="3"/>
  <c r="AG3" i="12"/>
  <c r="AG4" i="1"/>
  <c r="AF3" i="11"/>
  <c r="AA10" i="11"/>
  <c r="AA17" i="11" s="1"/>
  <c r="AB12" i="11"/>
  <c r="AB13" i="11"/>
  <c r="AD38" i="6"/>
  <c r="AE42" i="6"/>
  <c r="AE68" i="6"/>
  <c r="AF34" i="6"/>
  <c r="AF78" i="6" s="1"/>
  <c r="AF30" i="6"/>
  <c r="AF74" i="6" s="1"/>
  <c r="AF33" i="6"/>
  <c r="AF77" i="6" s="1"/>
  <c r="AF32" i="6"/>
  <c r="AF76" i="6" s="1"/>
  <c r="AF27" i="6"/>
  <c r="AF71" i="6" s="1"/>
  <c r="AF21" i="6"/>
  <c r="AF51" i="6" s="1"/>
  <c r="AF31" i="6"/>
  <c r="AF75" i="6" s="1"/>
  <c r="AF29" i="6"/>
  <c r="AF73" i="6" s="1"/>
  <c r="AF26" i="6"/>
  <c r="AF70" i="6" s="1"/>
  <c r="AF25" i="6"/>
  <c r="AF69" i="6" s="1"/>
  <c r="AF20" i="6"/>
  <c r="AF50" i="6" s="1"/>
  <c r="AF16" i="6"/>
  <c r="AF46" i="6" s="1"/>
  <c r="AF28" i="6"/>
  <c r="AF72" i="6" s="1"/>
  <c r="AF22" i="6"/>
  <c r="AF52" i="6" s="1"/>
  <c r="AF19" i="6"/>
  <c r="AF49" i="6" s="1"/>
  <c r="AF18" i="6"/>
  <c r="AF48" i="6" s="1"/>
  <c r="AF13" i="6"/>
  <c r="AF43" i="6" s="1"/>
  <c r="AF15" i="6"/>
  <c r="AF45" i="6" s="1"/>
  <c r="AF14" i="6"/>
  <c r="AF44" i="6" s="1"/>
  <c r="AF17" i="6"/>
  <c r="AF47" i="6" s="1"/>
  <c r="AI58" i="6"/>
  <c r="AI64" i="6"/>
  <c r="AI90" i="6"/>
  <c r="AI83" i="6"/>
  <c r="AI88" i="6"/>
  <c r="AI63" i="6"/>
  <c r="AI56" i="6"/>
  <c r="AI87" i="6"/>
  <c r="AI59" i="6"/>
  <c r="AI81" i="6"/>
  <c r="AI82" i="6"/>
  <c r="AI62" i="6"/>
  <c r="AI61" i="6"/>
  <c r="AI85" i="6"/>
  <c r="AI60" i="6"/>
  <c r="AI84" i="6"/>
  <c r="AI57" i="6"/>
  <c r="AI55" i="6"/>
  <c r="AI89" i="6"/>
  <c r="AI86" i="6"/>
  <c r="AE98" i="4"/>
  <c r="AI92" i="4"/>
  <c r="AH120" i="4"/>
  <c r="AI89" i="4"/>
  <c r="AJ85" i="4"/>
  <c r="AJ78" i="4"/>
  <c r="AI94" i="4"/>
  <c r="AJ91" i="4"/>
  <c r="AI80" i="4"/>
  <c r="AI75" i="4"/>
  <c r="AJ84" i="4"/>
  <c r="AI77" i="4"/>
  <c r="AH117" i="4"/>
  <c r="AH114" i="4"/>
  <c r="AI81" i="4"/>
  <c r="AH116" i="4"/>
  <c r="AJ83" i="4"/>
  <c r="AI79" i="4"/>
  <c r="AI82" i="4"/>
  <c r="AJ76" i="4"/>
  <c r="AF42" i="4"/>
  <c r="AF106" i="4" s="1"/>
  <c r="AF38" i="4"/>
  <c r="AF102" i="4" s="1"/>
  <c r="AF41" i="4"/>
  <c r="AF105" i="4" s="1"/>
  <c r="AF44" i="4"/>
  <c r="AF108" i="4" s="1"/>
  <c r="AF35" i="4"/>
  <c r="AF99" i="4" s="1"/>
  <c r="AF29" i="4"/>
  <c r="AF69" i="4" s="1"/>
  <c r="AF25" i="4"/>
  <c r="AF65" i="4" s="1"/>
  <c r="AF21" i="4"/>
  <c r="AF61" i="4" s="1"/>
  <c r="AF17" i="4"/>
  <c r="AF57" i="4" s="1"/>
  <c r="AF43" i="4"/>
  <c r="AF107" i="4" s="1"/>
  <c r="AF40" i="4"/>
  <c r="AF104" i="4" s="1"/>
  <c r="AF39" i="4"/>
  <c r="AF103" i="4" s="1"/>
  <c r="AF37" i="4"/>
  <c r="AF101" i="4" s="1"/>
  <c r="AF32" i="4"/>
  <c r="AF72" i="4" s="1"/>
  <c r="AF31" i="4"/>
  <c r="AF71" i="4" s="1"/>
  <c r="AF27" i="4"/>
  <c r="AF67" i="4" s="1"/>
  <c r="AF23" i="4"/>
  <c r="AF63" i="4" s="1"/>
  <c r="AF19" i="4"/>
  <c r="AF59" i="4" s="1"/>
  <c r="AF30" i="4"/>
  <c r="AF70" i="4" s="1"/>
  <c r="AF22" i="4"/>
  <c r="AF62" i="4" s="1"/>
  <c r="AF28" i="4"/>
  <c r="AF68" i="4" s="1"/>
  <c r="AF20" i="4"/>
  <c r="AF60" i="4" s="1"/>
  <c r="AF15" i="4"/>
  <c r="AF55" i="4" s="1"/>
  <c r="AF16" i="4"/>
  <c r="AF56" i="4" s="1"/>
  <c r="AF13" i="4"/>
  <c r="AF53" i="4" s="1"/>
  <c r="AF36" i="4"/>
  <c r="AF100" i="4" s="1"/>
  <c r="AF26" i="4"/>
  <c r="AF66" i="4" s="1"/>
  <c r="AF18" i="4"/>
  <c r="AF58" i="4" s="1"/>
  <c r="AF14" i="4"/>
  <c r="AF54" i="4" s="1"/>
  <c r="AF24" i="4"/>
  <c r="AF64" i="4" s="1"/>
  <c r="AH115" i="4"/>
  <c r="AI88" i="4"/>
  <c r="AI86" i="4"/>
  <c r="AH118" i="4"/>
  <c r="AJ93" i="4"/>
  <c r="AH111" i="4"/>
  <c r="AE52" i="4"/>
  <c r="AH113" i="4"/>
  <c r="AH112" i="4"/>
  <c r="AI87" i="4"/>
  <c r="AI90" i="4"/>
  <c r="AH119" i="4"/>
  <c r="AL59" i="3"/>
  <c r="AL43" i="3"/>
  <c r="AM42" i="3"/>
  <c r="AK44" i="3"/>
  <c r="AF21" i="3"/>
  <c r="AF50" i="3" s="1"/>
  <c r="AF20" i="3"/>
  <c r="AF49" i="3" s="1"/>
  <c r="AF24" i="3"/>
  <c r="AF53" i="3" s="1"/>
  <c r="AF22" i="3"/>
  <c r="AF51" i="3" s="1"/>
  <c r="AF16" i="3"/>
  <c r="AF36" i="3" s="1"/>
  <c r="AF15" i="3"/>
  <c r="AF35" i="3" s="1"/>
  <c r="AF14" i="3"/>
  <c r="AF34" i="3" s="1"/>
  <c r="AF13" i="3"/>
  <c r="AF33" i="3" s="1"/>
  <c r="AF17" i="3"/>
  <c r="AF37" i="3" s="1"/>
  <c r="AF23" i="3"/>
  <c r="AF52" i="3" s="1"/>
  <c r="AF5" i="4"/>
  <c r="AF5" i="6"/>
  <c r="AG3" i="6"/>
  <c r="AG3" i="4"/>
  <c r="AD28" i="3"/>
  <c r="AE48" i="3"/>
  <c r="AE32" i="3"/>
  <c r="AK57" i="3"/>
  <c r="AG56" i="3"/>
  <c r="AK58" i="3"/>
  <c r="AK40" i="3"/>
  <c r="AG41" i="3"/>
  <c r="AK60" i="3"/>
  <c r="AH3" i="1"/>
  <c r="AG3" i="3"/>
  <c r="AG5" i="1"/>
  <c r="AF5" i="3"/>
  <c r="AE48" i="4" l="1"/>
  <c r="AD12" i="11" s="1"/>
  <c r="AH3" i="12"/>
  <c r="AH4" i="1"/>
  <c r="AG3" i="11"/>
  <c r="AG5" i="12"/>
  <c r="AF5" i="11"/>
  <c r="AG4" i="12"/>
  <c r="AF4" i="11"/>
  <c r="AG4" i="6"/>
  <c r="AG4" i="4"/>
  <c r="AG4" i="3"/>
  <c r="AB10" i="11"/>
  <c r="AB17" i="11" s="1"/>
  <c r="AC13" i="11"/>
  <c r="AC11" i="11"/>
  <c r="AE38" i="6"/>
  <c r="AF68" i="6"/>
  <c r="AF42" i="6"/>
  <c r="AG33" i="6"/>
  <c r="AG77" i="6" s="1"/>
  <c r="AG29" i="6"/>
  <c r="AG73" i="6" s="1"/>
  <c r="AG32" i="6"/>
  <c r="AG76" i="6" s="1"/>
  <c r="AG31" i="6"/>
  <c r="AG75" i="6" s="1"/>
  <c r="AG26" i="6"/>
  <c r="AG70" i="6" s="1"/>
  <c r="AG34" i="6"/>
  <c r="AG78" i="6" s="1"/>
  <c r="AG25" i="6"/>
  <c r="AG69" i="6" s="1"/>
  <c r="AG30" i="6"/>
  <c r="AG74" i="6" s="1"/>
  <c r="AG28" i="6"/>
  <c r="AG72" i="6" s="1"/>
  <c r="AG22" i="6"/>
  <c r="AG52" i="6" s="1"/>
  <c r="AG21" i="6"/>
  <c r="AG51" i="6" s="1"/>
  <c r="AG19" i="6"/>
  <c r="AG49" i="6" s="1"/>
  <c r="AG15" i="6"/>
  <c r="AG45" i="6" s="1"/>
  <c r="AG18" i="6"/>
  <c r="AG48" i="6" s="1"/>
  <c r="AG27" i="6"/>
  <c r="AG71" i="6" s="1"/>
  <c r="AG17" i="6"/>
  <c r="AG47" i="6" s="1"/>
  <c r="AG16" i="6"/>
  <c r="AG46" i="6" s="1"/>
  <c r="AG13" i="6"/>
  <c r="AG43" i="6" s="1"/>
  <c r="AG20" i="6"/>
  <c r="AG50" i="6" s="1"/>
  <c r="AG14" i="6"/>
  <c r="AG44" i="6" s="1"/>
  <c r="AJ86" i="6"/>
  <c r="AJ55" i="6"/>
  <c r="AJ84" i="6"/>
  <c r="AJ85" i="6"/>
  <c r="AJ62" i="6"/>
  <c r="AJ81" i="6"/>
  <c r="AJ87" i="6"/>
  <c r="AJ63" i="6"/>
  <c r="AJ83" i="6"/>
  <c r="AJ64" i="6"/>
  <c r="AJ89" i="6"/>
  <c r="AJ57" i="6"/>
  <c r="AJ60" i="6"/>
  <c r="AJ61" i="6"/>
  <c r="AJ82" i="6"/>
  <c r="AJ59" i="6"/>
  <c r="AJ56" i="6"/>
  <c r="AJ88" i="6"/>
  <c r="AJ90" i="6"/>
  <c r="AJ58" i="6"/>
  <c r="AF98" i="4"/>
  <c r="AJ90" i="4"/>
  <c r="AI111" i="4"/>
  <c r="AJ88" i="4"/>
  <c r="AF52" i="4"/>
  <c r="AJ82" i="4"/>
  <c r="AK83" i="4"/>
  <c r="AJ81" i="4"/>
  <c r="AI117" i="4"/>
  <c r="AK84" i="4"/>
  <c r="AJ80" i="4"/>
  <c r="AJ94" i="4"/>
  <c r="AK85" i="4"/>
  <c r="AI120" i="4"/>
  <c r="AG41" i="4"/>
  <c r="AG105" i="4" s="1"/>
  <c r="AG44" i="4"/>
  <c r="AG108" i="4" s="1"/>
  <c r="AG43" i="4"/>
  <c r="AG107" i="4" s="1"/>
  <c r="AG28" i="4"/>
  <c r="AG68" i="4" s="1"/>
  <c r="AG24" i="4"/>
  <c r="AG64" i="4" s="1"/>
  <c r="AG20" i="4"/>
  <c r="AG60" i="4" s="1"/>
  <c r="AG16" i="4"/>
  <c r="AG56" i="4" s="1"/>
  <c r="AG36" i="4"/>
  <c r="AG100" i="4" s="1"/>
  <c r="AG30" i="4"/>
  <c r="AG70" i="4" s="1"/>
  <c r="AG26" i="4"/>
  <c r="AG66" i="4" s="1"/>
  <c r="AG22" i="4"/>
  <c r="AG62" i="4" s="1"/>
  <c r="AG18" i="4"/>
  <c r="AG58" i="4" s="1"/>
  <c r="AG42" i="4"/>
  <c r="AG106" i="4" s="1"/>
  <c r="AG35" i="4"/>
  <c r="AG99" i="4" s="1"/>
  <c r="AG25" i="4"/>
  <c r="AG65" i="4" s="1"/>
  <c r="AG17" i="4"/>
  <c r="AG57" i="4" s="1"/>
  <c r="AG15" i="4"/>
  <c r="AG55" i="4" s="1"/>
  <c r="AG14" i="4"/>
  <c r="AG54" i="4" s="1"/>
  <c r="AG19" i="4"/>
  <c r="AG59" i="4" s="1"/>
  <c r="AG40" i="4"/>
  <c r="AG104" i="4" s="1"/>
  <c r="AG39" i="4"/>
  <c r="AG103" i="4" s="1"/>
  <c r="AG38" i="4"/>
  <c r="AG102" i="4" s="1"/>
  <c r="AG31" i="4"/>
  <c r="AG71" i="4" s="1"/>
  <c r="AG23" i="4"/>
  <c r="AG63" i="4" s="1"/>
  <c r="AG29" i="4"/>
  <c r="AG69" i="4" s="1"/>
  <c r="AG21" i="4"/>
  <c r="AG61" i="4" s="1"/>
  <c r="AG13" i="4"/>
  <c r="AG53" i="4" s="1"/>
  <c r="AG37" i="4"/>
  <c r="AG101" i="4" s="1"/>
  <c r="AG32" i="4"/>
  <c r="AG72" i="4" s="1"/>
  <c r="AG27" i="4"/>
  <c r="AG67" i="4" s="1"/>
  <c r="AI119" i="4"/>
  <c r="AI113" i="4"/>
  <c r="AI112" i="4"/>
  <c r="AI118" i="4"/>
  <c r="AJ87" i="4"/>
  <c r="AK93" i="4"/>
  <c r="AJ86" i="4"/>
  <c r="AI115" i="4"/>
  <c r="AK76" i="4"/>
  <c r="AJ79" i="4"/>
  <c r="AI116" i="4"/>
  <c r="AI114" i="4"/>
  <c r="AJ77" i="4"/>
  <c r="AJ75" i="4"/>
  <c r="AK91" i="4"/>
  <c r="AK78" i="4"/>
  <c r="AJ89" i="4"/>
  <c r="AJ92" i="4"/>
  <c r="AM43" i="3"/>
  <c r="AM59" i="3"/>
  <c r="AL44" i="3"/>
  <c r="AN42" i="3"/>
  <c r="AG24" i="3"/>
  <c r="AG53" i="3" s="1"/>
  <c r="AG17" i="3"/>
  <c r="AG37" i="3" s="1"/>
  <c r="AG23" i="3"/>
  <c r="AG52" i="3" s="1"/>
  <c r="AG22" i="3"/>
  <c r="AG51" i="3" s="1"/>
  <c r="AG21" i="3"/>
  <c r="AG50" i="3" s="1"/>
  <c r="AG16" i="3"/>
  <c r="AG36" i="3" s="1"/>
  <c r="AG13" i="3"/>
  <c r="AG33" i="3" s="1"/>
  <c r="AG20" i="3"/>
  <c r="AG49" i="3" s="1"/>
  <c r="AG15" i="3"/>
  <c r="AG35" i="3" s="1"/>
  <c r="AG14" i="3"/>
  <c r="AG34" i="3" s="1"/>
  <c r="AH3" i="4"/>
  <c r="AH3" i="6"/>
  <c r="AG5" i="4"/>
  <c r="AG5" i="6"/>
  <c r="AE28" i="3"/>
  <c r="AF48" i="3"/>
  <c r="AF32" i="3"/>
  <c r="AH41" i="3"/>
  <c r="AL58" i="3"/>
  <c r="AL60" i="3"/>
  <c r="AL40" i="3"/>
  <c r="AH56" i="3"/>
  <c r="AL57" i="3"/>
  <c r="AH5" i="1"/>
  <c r="AG5" i="3"/>
  <c r="AI3" i="1"/>
  <c r="AH3" i="3"/>
  <c r="AF48" i="4" l="1"/>
  <c r="AE12" i="11" s="1"/>
  <c r="AH5" i="12"/>
  <c r="AG5" i="11"/>
  <c r="AH4" i="12"/>
  <c r="AH4" i="3"/>
  <c r="AH4" i="4"/>
  <c r="AG4" i="11"/>
  <c r="AH4" i="6"/>
  <c r="AI3" i="12"/>
  <c r="AI4" i="1"/>
  <c r="AH3" i="11"/>
  <c r="AC10" i="11"/>
  <c r="AC17" i="11" s="1"/>
  <c r="AD11" i="11"/>
  <c r="AD13" i="11"/>
  <c r="AF38" i="6"/>
  <c r="AG42" i="6"/>
  <c r="AH32" i="6"/>
  <c r="AH76" i="6" s="1"/>
  <c r="AH31" i="6"/>
  <c r="AH75" i="6" s="1"/>
  <c r="AH34" i="6"/>
  <c r="AH78" i="6" s="1"/>
  <c r="AH30" i="6"/>
  <c r="AH74" i="6" s="1"/>
  <c r="AH29" i="6"/>
  <c r="AH73" i="6" s="1"/>
  <c r="AH25" i="6"/>
  <c r="AH69" i="6" s="1"/>
  <c r="AH28" i="6"/>
  <c r="AH72" i="6" s="1"/>
  <c r="AH33" i="6"/>
  <c r="AH77" i="6" s="1"/>
  <c r="AH27" i="6"/>
  <c r="AH71" i="6" s="1"/>
  <c r="AH22" i="6"/>
  <c r="AH52" i="6" s="1"/>
  <c r="AH18" i="6"/>
  <c r="AH48" i="6" s="1"/>
  <c r="AH17" i="6"/>
  <c r="AH47" i="6" s="1"/>
  <c r="AH20" i="6"/>
  <c r="AH50" i="6" s="1"/>
  <c r="AH16" i="6"/>
  <c r="AH46" i="6" s="1"/>
  <c r="AH26" i="6"/>
  <c r="AH70" i="6" s="1"/>
  <c r="AH21" i="6"/>
  <c r="AH51" i="6" s="1"/>
  <c r="AH14" i="6"/>
  <c r="AH44" i="6" s="1"/>
  <c r="AH15" i="6"/>
  <c r="AH45" i="6" s="1"/>
  <c r="AH13" i="6"/>
  <c r="AH43" i="6" s="1"/>
  <c r="AH19" i="6"/>
  <c r="AH49" i="6" s="1"/>
  <c r="AG68" i="6"/>
  <c r="AK58" i="6"/>
  <c r="AK88" i="6"/>
  <c r="AK59" i="6"/>
  <c r="AK61" i="6"/>
  <c r="AK57" i="6"/>
  <c r="AK64" i="6"/>
  <c r="AK63" i="6"/>
  <c r="AK81" i="6"/>
  <c r="AK85" i="6"/>
  <c r="AK55" i="6"/>
  <c r="AK90" i="6"/>
  <c r="AK56" i="6"/>
  <c r="AK82" i="6"/>
  <c r="AK60" i="6"/>
  <c r="AK89" i="6"/>
  <c r="AK83" i="6"/>
  <c r="AK87" i="6"/>
  <c r="AK62" i="6"/>
  <c r="AK84" i="6"/>
  <c r="AK86" i="6"/>
  <c r="AG98" i="4"/>
  <c r="AK89" i="4"/>
  <c r="AL91" i="4"/>
  <c r="AK77" i="4"/>
  <c r="AJ116" i="4"/>
  <c r="AL76" i="4"/>
  <c r="AK86" i="4"/>
  <c r="AK87" i="4"/>
  <c r="AJ112" i="4"/>
  <c r="AJ119" i="4"/>
  <c r="AG52" i="4"/>
  <c r="AJ120" i="4"/>
  <c r="AK94" i="4"/>
  <c r="AL84" i="4"/>
  <c r="AK81" i="4"/>
  <c r="AK82" i="4"/>
  <c r="AH44" i="4"/>
  <c r="AH108" i="4" s="1"/>
  <c r="AH40" i="4"/>
  <c r="AH104" i="4" s="1"/>
  <c r="AH43" i="4"/>
  <c r="AH107" i="4" s="1"/>
  <c r="AH39" i="4"/>
  <c r="AH103" i="4" s="1"/>
  <c r="AH38" i="4"/>
  <c r="AH102" i="4" s="1"/>
  <c r="AH37" i="4"/>
  <c r="AH101" i="4" s="1"/>
  <c r="AH32" i="4"/>
  <c r="AH72" i="4" s="1"/>
  <c r="AH31" i="4"/>
  <c r="AH71" i="4" s="1"/>
  <c r="AH27" i="4"/>
  <c r="AH67" i="4" s="1"/>
  <c r="AH23" i="4"/>
  <c r="AH63" i="4" s="1"/>
  <c r="AH19" i="4"/>
  <c r="AH59" i="4" s="1"/>
  <c r="AH42" i="4"/>
  <c r="AH106" i="4" s="1"/>
  <c r="AH35" i="4"/>
  <c r="AH99" i="4" s="1"/>
  <c r="AH29" i="4"/>
  <c r="AH69" i="4" s="1"/>
  <c r="AH25" i="4"/>
  <c r="AH65" i="4" s="1"/>
  <c r="AH21" i="4"/>
  <c r="AH61" i="4" s="1"/>
  <c r="AH17" i="4"/>
  <c r="AH57" i="4" s="1"/>
  <c r="AH28" i="4"/>
  <c r="AH68" i="4" s="1"/>
  <c r="AH20" i="4"/>
  <c r="AH60" i="4" s="1"/>
  <c r="AH14" i="4"/>
  <c r="AH54" i="4" s="1"/>
  <c r="AH13" i="4"/>
  <c r="AH53" i="4" s="1"/>
  <c r="AH41" i="4"/>
  <c r="AH105" i="4" s="1"/>
  <c r="AH36" i="4"/>
  <c r="AH100" i="4" s="1"/>
  <c r="AH26" i="4"/>
  <c r="AH66" i="4" s="1"/>
  <c r="AH18" i="4"/>
  <c r="AH58" i="4" s="1"/>
  <c r="AH22" i="4"/>
  <c r="AH62" i="4" s="1"/>
  <c r="AH24" i="4"/>
  <c r="AH64" i="4" s="1"/>
  <c r="AH16" i="4"/>
  <c r="AH56" i="4" s="1"/>
  <c r="AH30" i="4"/>
  <c r="AH70" i="4" s="1"/>
  <c r="AH15" i="4"/>
  <c r="AH55" i="4" s="1"/>
  <c r="AJ111" i="4"/>
  <c r="AK92" i="4"/>
  <c r="AL78" i="4"/>
  <c r="AK75" i="4"/>
  <c r="AJ114" i="4"/>
  <c r="AK79" i="4"/>
  <c r="AJ115" i="4"/>
  <c r="AL93" i="4"/>
  <c r="AJ118" i="4"/>
  <c r="AJ113" i="4"/>
  <c r="AL85" i="4"/>
  <c r="AK80" i="4"/>
  <c r="AJ117" i="4"/>
  <c r="AL83" i="4"/>
  <c r="AK88" i="4"/>
  <c r="AK90" i="4"/>
  <c r="AN59" i="3"/>
  <c r="AN43" i="3"/>
  <c r="AO42" i="3"/>
  <c r="AM44" i="3"/>
  <c r="AH23" i="3"/>
  <c r="AH52" i="3" s="1"/>
  <c r="AH15" i="3"/>
  <c r="AH35" i="3" s="1"/>
  <c r="AH17" i="3"/>
  <c r="AH37" i="3" s="1"/>
  <c r="AH14" i="3"/>
  <c r="AH34" i="3" s="1"/>
  <c r="AH21" i="3"/>
  <c r="AH50" i="3" s="1"/>
  <c r="AH13" i="3"/>
  <c r="AH33" i="3" s="1"/>
  <c r="AH20" i="3"/>
  <c r="AH49" i="3" s="1"/>
  <c r="AH24" i="3"/>
  <c r="AH53" i="3" s="1"/>
  <c r="AH22" i="3"/>
  <c r="AH51" i="3" s="1"/>
  <c r="AH16" i="3"/>
  <c r="AH36" i="3" s="1"/>
  <c r="AH5" i="6"/>
  <c r="AH5" i="4"/>
  <c r="AI3" i="6"/>
  <c r="AI3" i="4"/>
  <c r="AF28" i="3"/>
  <c r="AG32" i="3"/>
  <c r="AG48" i="3"/>
  <c r="AI56" i="3"/>
  <c r="AM60" i="3"/>
  <c r="AM57" i="3"/>
  <c r="AM40" i="3"/>
  <c r="AM58" i="3"/>
  <c r="AI41" i="3"/>
  <c r="AJ3" i="1"/>
  <c r="AI3" i="3"/>
  <c r="AI5" i="1"/>
  <c r="AH5" i="3"/>
  <c r="AJ3" i="12" l="1"/>
  <c r="AJ4" i="1"/>
  <c r="AI3" i="11"/>
  <c r="AI5" i="12"/>
  <c r="AH5" i="11"/>
  <c r="AI4" i="12"/>
  <c r="AH4" i="11"/>
  <c r="AI4" i="6"/>
  <c r="AI4" i="4"/>
  <c r="AI4" i="3"/>
  <c r="AD10" i="11"/>
  <c r="AD17" i="11" s="1"/>
  <c r="AE11" i="11"/>
  <c r="AE13" i="11"/>
  <c r="AG48" i="4"/>
  <c r="AG38" i="6"/>
  <c r="AH42" i="6"/>
  <c r="AH68" i="6"/>
  <c r="AI31" i="6"/>
  <c r="AI75" i="6" s="1"/>
  <c r="AI34" i="6"/>
  <c r="AI78" i="6" s="1"/>
  <c r="AI30" i="6"/>
  <c r="AI74" i="6" s="1"/>
  <c r="AI33" i="6"/>
  <c r="AI77" i="6" s="1"/>
  <c r="AI29" i="6"/>
  <c r="AI73" i="6" s="1"/>
  <c r="AI28" i="6"/>
  <c r="AI72" i="6" s="1"/>
  <c r="AI22" i="6"/>
  <c r="AI52" i="6" s="1"/>
  <c r="AI27" i="6"/>
  <c r="AI71" i="6" s="1"/>
  <c r="AI26" i="6"/>
  <c r="AI70" i="6" s="1"/>
  <c r="AI25" i="6"/>
  <c r="AI69" i="6" s="1"/>
  <c r="AI17" i="6"/>
  <c r="AI47" i="6" s="1"/>
  <c r="AI20" i="6"/>
  <c r="AI50" i="6" s="1"/>
  <c r="AI32" i="6"/>
  <c r="AI76" i="6" s="1"/>
  <c r="AI21" i="6"/>
  <c r="AI51" i="6" s="1"/>
  <c r="AI19" i="6"/>
  <c r="AI49" i="6" s="1"/>
  <c r="AI18" i="6"/>
  <c r="AI48" i="6" s="1"/>
  <c r="AI14" i="6"/>
  <c r="AI44" i="6" s="1"/>
  <c r="AI13" i="6"/>
  <c r="AI43" i="6" s="1"/>
  <c r="AI15" i="6"/>
  <c r="AI45" i="6" s="1"/>
  <c r="AI16" i="6"/>
  <c r="AI46" i="6" s="1"/>
  <c r="AL86" i="6"/>
  <c r="AL62" i="6"/>
  <c r="AL83" i="6"/>
  <c r="AL60" i="6"/>
  <c r="AL56" i="6"/>
  <c r="AL55" i="6"/>
  <c r="AL81" i="6"/>
  <c r="AL64" i="6"/>
  <c r="AL61" i="6"/>
  <c r="AL88" i="6"/>
  <c r="AL84" i="6"/>
  <c r="AL87" i="6"/>
  <c r="AL89" i="6"/>
  <c r="AL82" i="6"/>
  <c r="AL90" i="6"/>
  <c r="AL85" i="6"/>
  <c r="AL63" i="6"/>
  <c r="AL57" i="6"/>
  <c r="AL59" i="6"/>
  <c r="AL58" i="6"/>
  <c r="AH98" i="4"/>
  <c r="AL88" i="4"/>
  <c r="AK118" i="4"/>
  <c r="AK111" i="4"/>
  <c r="AM84" i="4"/>
  <c r="AK112" i="4"/>
  <c r="AL86" i="4"/>
  <c r="AK116" i="4"/>
  <c r="AM91" i="4"/>
  <c r="AK117" i="4"/>
  <c r="AK115" i="4"/>
  <c r="AM78" i="4"/>
  <c r="AL82" i="4"/>
  <c r="AK120" i="4"/>
  <c r="AI43" i="4"/>
  <c r="AI107" i="4" s="1"/>
  <c r="AI39" i="4"/>
  <c r="AI103" i="4" s="1"/>
  <c r="AI42" i="4"/>
  <c r="AI106" i="4" s="1"/>
  <c r="AI44" i="4"/>
  <c r="AI108" i="4" s="1"/>
  <c r="AI41" i="4"/>
  <c r="AI105" i="4" s="1"/>
  <c r="AI40" i="4"/>
  <c r="AI104" i="4" s="1"/>
  <c r="AI36" i="4"/>
  <c r="AI100" i="4" s="1"/>
  <c r="AI30" i="4"/>
  <c r="AI70" i="4" s="1"/>
  <c r="AI26" i="4"/>
  <c r="AI66" i="4" s="1"/>
  <c r="AI22" i="4"/>
  <c r="AI62" i="4" s="1"/>
  <c r="AI18" i="4"/>
  <c r="AI58" i="4" s="1"/>
  <c r="AI28" i="4"/>
  <c r="AI68" i="4" s="1"/>
  <c r="AI24" i="4"/>
  <c r="AI64" i="4" s="1"/>
  <c r="AI20" i="4"/>
  <c r="AI60" i="4" s="1"/>
  <c r="AI16" i="4"/>
  <c r="AI56" i="4" s="1"/>
  <c r="AI38" i="4"/>
  <c r="AI102" i="4" s="1"/>
  <c r="AI31" i="4"/>
  <c r="AI71" i="4" s="1"/>
  <c r="AI23" i="4"/>
  <c r="AI63" i="4" s="1"/>
  <c r="AI13" i="4"/>
  <c r="AI53" i="4" s="1"/>
  <c r="AI14" i="4"/>
  <c r="AI54" i="4" s="1"/>
  <c r="AI29" i="4"/>
  <c r="AI69" i="4" s="1"/>
  <c r="AI21" i="4"/>
  <c r="AI61" i="4" s="1"/>
  <c r="AI17" i="4"/>
  <c r="AI57" i="4" s="1"/>
  <c r="AI37" i="4"/>
  <c r="AI101" i="4" s="1"/>
  <c r="AI32" i="4"/>
  <c r="AI72" i="4" s="1"/>
  <c r="AI27" i="4"/>
  <c r="AI67" i="4" s="1"/>
  <c r="AI19" i="4"/>
  <c r="AI59" i="4" s="1"/>
  <c r="AI15" i="4"/>
  <c r="AI55" i="4" s="1"/>
  <c r="AI35" i="4"/>
  <c r="AI99" i="4" s="1"/>
  <c r="AI25" i="4"/>
  <c r="AI65" i="4" s="1"/>
  <c r="AL90" i="4"/>
  <c r="AM83" i="4"/>
  <c r="AL80" i="4"/>
  <c r="AK113" i="4"/>
  <c r="AM93" i="4"/>
  <c r="AL79" i="4"/>
  <c r="AL75" i="4"/>
  <c r="AL92" i="4"/>
  <c r="AH52" i="4"/>
  <c r="AL81" i="4"/>
  <c r="AL94" i="4"/>
  <c r="AM85" i="4"/>
  <c r="AK114" i="4"/>
  <c r="AK119" i="4"/>
  <c r="AL87" i="4"/>
  <c r="AM76" i="4"/>
  <c r="AL77" i="4"/>
  <c r="AL89" i="4"/>
  <c r="AO43" i="3"/>
  <c r="AO59" i="3"/>
  <c r="AN44" i="3"/>
  <c r="AP42" i="3"/>
  <c r="AI24" i="3"/>
  <c r="AI53" i="3" s="1"/>
  <c r="AI22" i="3"/>
  <c r="AI51" i="3" s="1"/>
  <c r="AI21" i="3"/>
  <c r="AI50" i="3" s="1"/>
  <c r="AI13" i="3"/>
  <c r="AI33" i="3" s="1"/>
  <c r="AI17" i="3"/>
  <c r="AI37" i="3" s="1"/>
  <c r="AI23" i="3"/>
  <c r="AI52" i="3" s="1"/>
  <c r="AI20" i="3"/>
  <c r="AI49" i="3" s="1"/>
  <c r="AI16" i="3"/>
  <c r="AI36" i="3" s="1"/>
  <c r="AI15" i="3"/>
  <c r="AI35" i="3" s="1"/>
  <c r="AI14" i="3"/>
  <c r="AI34" i="3" s="1"/>
  <c r="AJ3" i="6"/>
  <c r="AJ3" i="4"/>
  <c r="AI5" i="6"/>
  <c r="AI5" i="4"/>
  <c r="AG28" i="3"/>
  <c r="AH32" i="3"/>
  <c r="AN57" i="3"/>
  <c r="AN40" i="3"/>
  <c r="AH48" i="3"/>
  <c r="AJ41" i="3"/>
  <c r="AN58" i="3"/>
  <c r="AN60" i="3"/>
  <c r="AJ56" i="3"/>
  <c r="AJ5" i="1"/>
  <c r="AI5" i="3"/>
  <c r="AK3" i="1"/>
  <c r="AJ3" i="3"/>
  <c r="AH48" i="4" l="1"/>
  <c r="AG12" i="11" s="1"/>
  <c r="AJ5" i="12"/>
  <c r="AI5" i="11"/>
  <c r="AJ4" i="12"/>
  <c r="AI4" i="11"/>
  <c r="AJ4" i="6"/>
  <c r="AJ4" i="4"/>
  <c r="AJ4" i="3"/>
  <c r="AK3" i="12"/>
  <c r="AK4" i="1"/>
  <c r="AJ3" i="11"/>
  <c r="AF13" i="11"/>
  <c r="AF11" i="11"/>
  <c r="AF12" i="11"/>
  <c r="AE10" i="11"/>
  <c r="AE17" i="11" s="1"/>
  <c r="AI42" i="6"/>
  <c r="AI68" i="6"/>
  <c r="AH38" i="6"/>
  <c r="AJ34" i="6"/>
  <c r="AJ78" i="6" s="1"/>
  <c r="AJ30" i="6"/>
  <c r="AJ74" i="6" s="1"/>
  <c r="AJ33" i="6"/>
  <c r="AJ77" i="6" s="1"/>
  <c r="AJ32" i="6"/>
  <c r="AJ76" i="6" s="1"/>
  <c r="AJ31" i="6"/>
  <c r="AJ75" i="6" s="1"/>
  <c r="AJ27" i="6"/>
  <c r="AJ71" i="6" s="1"/>
  <c r="AJ21" i="6"/>
  <c r="AJ51" i="6" s="1"/>
  <c r="AJ26" i="6"/>
  <c r="AJ70" i="6" s="1"/>
  <c r="AJ25" i="6"/>
  <c r="AJ69" i="6" s="1"/>
  <c r="AJ29" i="6"/>
  <c r="AJ73" i="6" s="1"/>
  <c r="AJ28" i="6"/>
  <c r="AJ72" i="6" s="1"/>
  <c r="AJ20" i="6"/>
  <c r="AJ50" i="6" s="1"/>
  <c r="AJ16" i="6"/>
  <c r="AJ46" i="6" s="1"/>
  <c r="AJ19" i="6"/>
  <c r="AJ49" i="6" s="1"/>
  <c r="AJ18" i="6"/>
  <c r="AJ48" i="6" s="1"/>
  <c r="AJ22" i="6"/>
  <c r="AJ52" i="6" s="1"/>
  <c r="AJ15" i="6"/>
  <c r="AJ45" i="6" s="1"/>
  <c r="AJ13" i="6"/>
  <c r="AJ43" i="6" s="1"/>
  <c r="AJ14" i="6"/>
  <c r="AJ44" i="6" s="1"/>
  <c r="AJ17" i="6"/>
  <c r="AJ47" i="6" s="1"/>
  <c r="AM58" i="6"/>
  <c r="AM57" i="6"/>
  <c r="AM85" i="6"/>
  <c r="AM82" i="6"/>
  <c r="AM87" i="6"/>
  <c r="AM88" i="6"/>
  <c r="AM64" i="6"/>
  <c r="AM55" i="6"/>
  <c r="AM60" i="6"/>
  <c r="AM62" i="6"/>
  <c r="AM59" i="6"/>
  <c r="AM63" i="6"/>
  <c r="AM90" i="6"/>
  <c r="AM89" i="6"/>
  <c r="AM84" i="6"/>
  <c r="AM61" i="6"/>
  <c r="AM81" i="6"/>
  <c r="AM56" i="6"/>
  <c r="AM83" i="6"/>
  <c r="AM86" i="6"/>
  <c r="AI98" i="4"/>
  <c r="AM75" i="4"/>
  <c r="AM80" i="4"/>
  <c r="AM90" i="4"/>
  <c r="AI52" i="4"/>
  <c r="AJ42" i="4"/>
  <c r="AJ106" i="4" s="1"/>
  <c r="AJ38" i="4"/>
  <c r="AJ102" i="4" s="1"/>
  <c r="AJ41" i="4"/>
  <c r="AJ105" i="4" s="1"/>
  <c r="AJ44" i="4"/>
  <c r="AJ108" i="4" s="1"/>
  <c r="AJ35" i="4"/>
  <c r="AJ99" i="4" s="1"/>
  <c r="AJ29" i="4"/>
  <c r="AJ69" i="4" s="1"/>
  <c r="AJ25" i="4"/>
  <c r="AJ65" i="4" s="1"/>
  <c r="AJ21" i="4"/>
  <c r="AJ61" i="4" s="1"/>
  <c r="AJ17" i="4"/>
  <c r="AJ57" i="4" s="1"/>
  <c r="AJ37" i="4"/>
  <c r="AJ101" i="4" s="1"/>
  <c r="AJ32" i="4"/>
  <c r="AJ72" i="4" s="1"/>
  <c r="AJ31" i="4"/>
  <c r="AJ71" i="4" s="1"/>
  <c r="AJ27" i="4"/>
  <c r="AJ67" i="4" s="1"/>
  <c r="AJ23" i="4"/>
  <c r="AJ63" i="4" s="1"/>
  <c r="AJ19" i="4"/>
  <c r="AJ59" i="4" s="1"/>
  <c r="AJ40" i="4"/>
  <c r="AJ104" i="4" s="1"/>
  <c r="AJ39" i="4"/>
  <c r="AJ103" i="4" s="1"/>
  <c r="AJ36" i="4"/>
  <c r="AJ100" i="4" s="1"/>
  <c r="AJ26" i="4"/>
  <c r="AJ66" i="4" s="1"/>
  <c r="AJ18" i="4"/>
  <c r="AJ58" i="4" s="1"/>
  <c r="AJ15" i="4"/>
  <c r="AJ55" i="4" s="1"/>
  <c r="AJ43" i="4"/>
  <c r="AJ107" i="4" s="1"/>
  <c r="AJ24" i="4"/>
  <c r="AJ64" i="4" s="1"/>
  <c r="AJ16" i="4"/>
  <c r="AJ56" i="4" s="1"/>
  <c r="AJ13" i="4"/>
  <c r="AJ53" i="4" s="1"/>
  <c r="AJ30" i="4"/>
  <c r="AJ70" i="4" s="1"/>
  <c r="AJ22" i="4"/>
  <c r="AJ62" i="4" s="1"/>
  <c r="AJ14" i="4"/>
  <c r="AJ54" i="4" s="1"/>
  <c r="AJ28" i="4"/>
  <c r="AJ68" i="4" s="1"/>
  <c r="AJ20" i="4"/>
  <c r="AJ60" i="4" s="1"/>
  <c r="AM87" i="4"/>
  <c r="AM94" i="4"/>
  <c r="AM92" i="4"/>
  <c r="AM79" i="4"/>
  <c r="AL113" i="4"/>
  <c r="AN83" i="4"/>
  <c r="AM82" i="4"/>
  <c r="AL115" i="4"/>
  <c r="AN91" i="4"/>
  <c r="AM86" i="4"/>
  <c r="AN84" i="4"/>
  <c r="AL118" i="4"/>
  <c r="AN93" i="4"/>
  <c r="AM77" i="4"/>
  <c r="AL114" i="4"/>
  <c r="AM89" i="4"/>
  <c r="AN76" i="4"/>
  <c r="AL119" i="4"/>
  <c r="AN85" i="4"/>
  <c r="AM81" i="4"/>
  <c r="AL120" i="4"/>
  <c r="AN78" i="4"/>
  <c r="AL117" i="4"/>
  <c r="AL116" i="4"/>
  <c r="AL112" i="4"/>
  <c r="AL111" i="4"/>
  <c r="AM88" i="4"/>
  <c r="AP59" i="3"/>
  <c r="AP43" i="3"/>
  <c r="AQ42" i="3"/>
  <c r="AO44" i="3"/>
  <c r="AI32" i="3"/>
  <c r="AJ21" i="3"/>
  <c r="AJ50" i="3" s="1"/>
  <c r="AJ20" i="3"/>
  <c r="AJ49" i="3" s="1"/>
  <c r="AJ17" i="3"/>
  <c r="AJ37" i="3" s="1"/>
  <c r="AJ23" i="3"/>
  <c r="AJ52" i="3" s="1"/>
  <c r="AJ24" i="3"/>
  <c r="AJ53" i="3" s="1"/>
  <c r="AJ16" i="3"/>
  <c r="AJ36" i="3" s="1"/>
  <c r="AJ15" i="3"/>
  <c r="AJ35" i="3" s="1"/>
  <c r="AJ22" i="3"/>
  <c r="AJ51" i="3" s="1"/>
  <c r="AJ14" i="3"/>
  <c r="AJ34" i="3" s="1"/>
  <c r="AJ13" i="3"/>
  <c r="AJ33" i="3" s="1"/>
  <c r="AJ5" i="4"/>
  <c r="AJ5" i="6"/>
  <c r="AK3" i="4"/>
  <c r="AK3" i="6"/>
  <c r="AH28" i="3"/>
  <c r="AK56" i="3"/>
  <c r="AO58" i="3"/>
  <c r="AI48" i="3"/>
  <c r="AO57" i="3"/>
  <c r="AO60" i="3"/>
  <c r="AK41" i="3"/>
  <c r="AO40" i="3"/>
  <c r="AL3" i="1"/>
  <c r="AK3" i="3"/>
  <c r="AK5" i="1"/>
  <c r="AJ5" i="3"/>
  <c r="AI48" i="4" l="1"/>
  <c r="AH12" i="11" s="1"/>
  <c r="AK5" i="12"/>
  <c r="AJ5" i="11"/>
  <c r="AL3" i="12"/>
  <c r="AL4" i="1"/>
  <c r="AK3" i="11"/>
  <c r="AK4" i="12"/>
  <c r="AJ4" i="11"/>
  <c r="AK4" i="6"/>
  <c r="AK4" i="4"/>
  <c r="AK4" i="3"/>
  <c r="AI28" i="3"/>
  <c r="AH11" i="11" s="1"/>
  <c r="AF10" i="11"/>
  <c r="AF17" i="11" s="1"/>
  <c r="AG13" i="11"/>
  <c r="AG11" i="11"/>
  <c r="AI38" i="6"/>
  <c r="AK33" i="6"/>
  <c r="AK77" i="6" s="1"/>
  <c r="AK29" i="6"/>
  <c r="AK73" i="6" s="1"/>
  <c r="AK32" i="6"/>
  <c r="AK76" i="6" s="1"/>
  <c r="AK31" i="6"/>
  <c r="AK75" i="6" s="1"/>
  <c r="AK34" i="6"/>
  <c r="AK78" i="6" s="1"/>
  <c r="AK26" i="6"/>
  <c r="AK70" i="6" s="1"/>
  <c r="AK30" i="6"/>
  <c r="AK74" i="6" s="1"/>
  <c r="AK25" i="6"/>
  <c r="AK69" i="6" s="1"/>
  <c r="AK28" i="6"/>
  <c r="AK72" i="6" s="1"/>
  <c r="AK22" i="6"/>
  <c r="AK52" i="6" s="1"/>
  <c r="AK19" i="6"/>
  <c r="AK49" i="6" s="1"/>
  <c r="AK15" i="6"/>
  <c r="AK45" i="6" s="1"/>
  <c r="AK27" i="6"/>
  <c r="AK71" i="6" s="1"/>
  <c r="AK21" i="6"/>
  <c r="AK51" i="6" s="1"/>
  <c r="AK18" i="6"/>
  <c r="AK48" i="6" s="1"/>
  <c r="AK17" i="6"/>
  <c r="AK47" i="6" s="1"/>
  <c r="AK13" i="6"/>
  <c r="AK43" i="6" s="1"/>
  <c r="AK20" i="6"/>
  <c r="AK50" i="6" s="1"/>
  <c r="AK16" i="6"/>
  <c r="AK46" i="6" s="1"/>
  <c r="AK14" i="6"/>
  <c r="AK44" i="6" s="1"/>
  <c r="AJ68" i="6"/>
  <c r="AJ42" i="6"/>
  <c r="AN86" i="6"/>
  <c r="AN56" i="6"/>
  <c r="AN61" i="6"/>
  <c r="AN89" i="6"/>
  <c r="AN63" i="6"/>
  <c r="AN62" i="6"/>
  <c r="AN55" i="6"/>
  <c r="AN88" i="6"/>
  <c r="AN82" i="6"/>
  <c r="AN57" i="6"/>
  <c r="AN83" i="6"/>
  <c r="AN81" i="6"/>
  <c r="AN84" i="6"/>
  <c r="AN90" i="6"/>
  <c r="AN59" i="6"/>
  <c r="AN60" i="6"/>
  <c r="AN64" i="6"/>
  <c r="AN87" i="6"/>
  <c r="AN85" i="6"/>
  <c r="AN58" i="6"/>
  <c r="AJ98" i="4"/>
  <c r="AM111" i="4"/>
  <c r="AO78" i="4"/>
  <c r="AM119" i="4"/>
  <c r="AN89" i="4"/>
  <c r="AN77" i="4"/>
  <c r="AM118" i="4"/>
  <c r="AN86" i="4"/>
  <c r="AM115" i="4"/>
  <c r="AO83" i="4"/>
  <c r="AN79" i="4"/>
  <c r="AN94" i="4"/>
  <c r="AJ52" i="4"/>
  <c r="AM116" i="4"/>
  <c r="AN81" i="4"/>
  <c r="AN80" i="4"/>
  <c r="AK41" i="4"/>
  <c r="AK105" i="4" s="1"/>
  <c r="AK44" i="4"/>
  <c r="AK108" i="4" s="1"/>
  <c r="AK43" i="4"/>
  <c r="AK107" i="4" s="1"/>
  <c r="AK28" i="4"/>
  <c r="AK68" i="4" s="1"/>
  <c r="AK24" i="4"/>
  <c r="AK64" i="4" s="1"/>
  <c r="AK20" i="4"/>
  <c r="AK60" i="4" s="1"/>
  <c r="AK16" i="4"/>
  <c r="AK56" i="4" s="1"/>
  <c r="AK40" i="4"/>
  <c r="AK104" i="4" s="1"/>
  <c r="AK39" i="4"/>
  <c r="AK103" i="4" s="1"/>
  <c r="AK38" i="4"/>
  <c r="AK102" i="4" s="1"/>
  <c r="AK36" i="4"/>
  <c r="AK100" i="4" s="1"/>
  <c r="AK30" i="4"/>
  <c r="AK70" i="4" s="1"/>
  <c r="AK26" i="4"/>
  <c r="AK66" i="4" s="1"/>
  <c r="AK22" i="4"/>
  <c r="AK62" i="4" s="1"/>
  <c r="AK18" i="4"/>
  <c r="AK58" i="4" s="1"/>
  <c r="AK29" i="4"/>
  <c r="AK69" i="4" s="1"/>
  <c r="AK21" i="4"/>
  <c r="AK61" i="4" s="1"/>
  <c r="AK15" i="4"/>
  <c r="AK55" i="4" s="1"/>
  <c r="AK37" i="4"/>
  <c r="AK101" i="4" s="1"/>
  <c r="AK32" i="4"/>
  <c r="AK72" i="4" s="1"/>
  <c r="AK27" i="4"/>
  <c r="AK67" i="4" s="1"/>
  <c r="AK19" i="4"/>
  <c r="AK59" i="4" s="1"/>
  <c r="AK14" i="4"/>
  <c r="AK54" i="4" s="1"/>
  <c r="AK35" i="4"/>
  <c r="AK99" i="4" s="1"/>
  <c r="AK25" i="4"/>
  <c r="AK65" i="4" s="1"/>
  <c r="AK17" i="4"/>
  <c r="AK57" i="4" s="1"/>
  <c r="AK13" i="4"/>
  <c r="AK53" i="4" s="1"/>
  <c r="AK42" i="4"/>
  <c r="AK106" i="4" s="1"/>
  <c r="AK31" i="4"/>
  <c r="AK71" i="4" s="1"/>
  <c r="AK23" i="4"/>
  <c r="AK63" i="4" s="1"/>
  <c r="AN88" i="4"/>
  <c r="AM112" i="4"/>
  <c r="AM117" i="4"/>
  <c r="AM120" i="4"/>
  <c r="AO85" i="4"/>
  <c r="AO76" i="4"/>
  <c r="AM114" i="4"/>
  <c r="AO93" i="4"/>
  <c r="AO84" i="4"/>
  <c r="AO91" i="4"/>
  <c r="AN82" i="4"/>
  <c r="AM113" i="4"/>
  <c r="AN92" i="4"/>
  <c r="AN87" i="4"/>
  <c r="AN90" i="4"/>
  <c r="AN75" i="4"/>
  <c r="AQ43" i="3"/>
  <c r="AQ59" i="3"/>
  <c r="AP44" i="3"/>
  <c r="AR42" i="3"/>
  <c r="AJ32" i="3"/>
  <c r="AK24" i="3"/>
  <c r="AK53" i="3" s="1"/>
  <c r="AK17" i="3"/>
  <c r="AK37" i="3" s="1"/>
  <c r="AK20" i="3"/>
  <c r="AK49" i="3" s="1"/>
  <c r="AK16" i="3"/>
  <c r="AK36" i="3" s="1"/>
  <c r="AK15" i="3"/>
  <c r="AK35" i="3" s="1"/>
  <c r="AK23" i="3"/>
  <c r="AK52" i="3" s="1"/>
  <c r="AK22" i="3"/>
  <c r="AK51" i="3" s="1"/>
  <c r="AK14" i="3"/>
  <c r="AK34" i="3" s="1"/>
  <c r="AK13" i="3"/>
  <c r="AK33" i="3" s="1"/>
  <c r="AK21" i="3"/>
  <c r="AK50" i="3" s="1"/>
  <c r="AL3" i="4"/>
  <c r="AL3" i="6"/>
  <c r="AK5" i="4"/>
  <c r="AK5" i="6"/>
  <c r="AJ48" i="3"/>
  <c r="AL41" i="3"/>
  <c r="AP57" i="3"/>
  <c r="AP58" i="3"/>
  <c r="AP40" i="3"/>
  <c r="AP60" i="3"/>
  <c r="AL56" i="3"/>
  <c r="AL5" i="1"/>
  <c r="AK5" i="3"/>
  <c r="AM3" i="1"/>
  <c r="AL3" i="3"/>
  <c r="AJ48" i="4" l="1"/>
  <c r="AI12" i="11" s="1"/>
  <c r="AL5" i="12"/>
  <c r="AK5" i="11"/>
  <c r="AL4" i="12"/>
  <c r="AL4" i="3"/>
  <c r="AK4" i="11"/>
  <c r="AL4" i="6"/>
  <c r="AL4" i="4"/>
  <c r="AM3" i="12"/>
  <c r="AM4" i="1"/>
  <c r="AL3" i="11"/>
  <c r="AG10" i="11"/>
  <c r="AG17" i="11" s="1"/>
  <c r="AH13" i="11"/>
  <c r="AH10" i="11" s="1"/>
  <c r="AK68" i="6"/>
  <c r="AJ38" i="6"/>
  <c r="AL32" i="6"/>
  <c r="AL76" i="6" s="1"/>
  <c r="AL31" i="6"/>
  <c r="AL75" i="6" s="1"/>
  <c r="AL34" i="6"/>
  <c r="AL78" i="6" s="1"/>
  <c r="AL30" i="6"/>
  <c r="AL74" i="6" s="1"/>
  <c r="AL25" i="6"/>
  <c r="AL69" i="6" s="1"/>
  <c r="AL33" i="6"/>
  <c r="AL77" i="6" s="1"/>
  <c r="AL28" i="6"/>
  <c r="AL72" i="6" s="1"/>
  <c r="AL29" i="6"/>
  <c r="AL73" i="6" s="1"/>
  <c r="AL27" i="6"/>
  <c r="AL71" i="6" s="1"/>
  <c r="AL21" i="6"/>
  <c r="AL51" i="6" s="1"/>
  <c r="AL18" i="6"/>
  <c r="AL48" i="6" s="1"/>
  <c r="AL17" i="6"/>
  <c r="AL47" i="6" s="1"/>
  <c r="AL26" i="6"/>
  <c r="AL70" i="6" s="1"/>
  <c r="AL22" i="6"/>
  <c r="AL52" i="6" s="1"/>
  <c r="AL20" i="6"/>
  <c r="AL50" i="6" s="1"/>
  <c r="AL16" i="6"/>
  <c r="AL46" i="6" s="1"/>
  <c r="AL15" i="6"/>
  <c r="AL45" i="6" s="1"/>
  <c r="AL14" i="6"/>
  <c r="AL44" i="6" s="1"/>
  <c r="AL19" i="6"/>
  <c r="AL49" i="6" s="1"/>
  <c r="AL13" i="6"/>
  <c r="AL43" i="6" s="1"/>
  <c r="AK42" i="6"/>
  <c r="AO58" i="6"/>
  <c r="AO87" i="6"/>
  <c r="AO60" i="6"/>
  <c r="AO90" i="6"/>
  <c r="AO81" i="6"/>
  <c r="AO57" i="6"/>
  <c r="AO88" i="6"/>
  <c r="AO62" i="6"/>
  <c r="AO89" i="6"/>
  <c r="AO56" i="6"/>
  <c r="AO85" i="6"/>
  <c r="AO64" i="6"/>
  <c r="AO59" i="6"/>
  <c r="AO84" i="6"/>
  <c r="AO83" i="6"/>
  <c r="AO82" i="6"/>
  <c r="AO55" i="6"/>
  <c r="AO63" i="6"/>
  <c r="AO61" i="6"/>
  <c r="AO86" i="6"/>
  <c r="AK98" i="4"/>
  <c r="AK52" i="4"/>
  <c r="AJ28" i="3"/>
  <c r="AO79" i="4"/>
  <c r="AN115" i="4"/>
  <c r="AN118" i="4"/>
  <c r="AO89" i="4"/>
  <c r="AP78" i="4"/>
  <c r="AO92" i="4"/>
  <c r="AP84" i="4"/>
  <c r="AP85" i="4"/>
  <c r="AO88" i="4"/>
  <c r="AO80" i="4"/>
  <c r="AO75" i="4"/>
  <c r="AO87" i="4"/>
  <c r="AN113" i="4"/>
  <c r="AP91" i="4"/>
  <c r="AP93" i="4"/>
  <c r="AP76" i="4"/>
  <c r="AN120" i="4"/>
  <c r="AN112" i="4"/>
  <c r="AO81" i="4"/>
  <c r="AL44" i="4"/>
  <c r="AL108" i="4" s="1"/>
  <c r="AL40" i="4"/>
  <c r="AL104" i="4" s="1"/>
  <c r="AL43" i="4"/>
  <c r="AL107" i="4" s="1"/>
  <c r="AL42" i="4"/>
  <c r="AL106" i="4" s="1"/>
  <c r="AL37" i="4"/>
  <c r="AL101" i="4" s="1"/>
  <c r="AL32" i="4"/>
  <c r="AL72" i="4" s="1"/>
  <c r="AL31" i="4"/>
  <c r="AL71" i="4" s="1"/>
  <c r="AL27" i="4"/>
  <c r="AL67" i="4" s="1"/>
  <c r="AL23" i="4"/>
  <c r="AL63" i="4" s="1"/>
  <c r="AL19" i="4"/>
  <c r="AL59" i="4" s="1"/>
  <c r="AL35" i="4"/>
  <c r="AL99" i="4" s="1"/>
  <c r="AL29" i="4"/>
  <c r="AL69" i="4" s="1"/>
  <c r="AL25" i="4"/>
  <c r="AL65" i="4" s="1"/>
  <c r="AL21" i="4"/>
  <c r="AL61" i="4" s="1"/>
  <c r="AL17" i="4"/>
  <c r="AL57" i="4" s="1"/>
  <c r="AL41" i="4"/>
  <c r="AL105" i="4" s="1"/>
  <c r="AL24" i="4"/>
  <c r="AL64" i="4" s="1"/>
  <c r="AL16" i="4"/>
  <c r="AL56" i="4" s="1"/>
  <c r="AL14" i="4"/>
  <c r="AL54" i="4" s="1"/>
  <c r="AL13" i="4"/>
  <c r="AL53" i="4" s="1"/>
  <c r="AL15" i="4"/>
  <c r="AL55" i="4" s="1"/>
  <c r="AL30" i="4"/>
  <c r="AL70" i="4" s="1"/>
  <c r="AL22" i="4"/>
  <c r="AL62" i="4" s="1"/>
  <c r="AL28" i="4"/>
  <c r="AL68" i="4" s="1"/>
  <c r="AL20" i="4"/>
  <c r="AL60" i="4" s="1"/>
  <c r="AL39" i="4"/>
  <c r="AL103" i="4" s="1"/>
  <c r="AL38" i="4"/>
  <c r="AL102" i="4" s="1"/>
  <c r="AL36" i="4"/>
  <c r="AL100" i="4" s="1"/>
  <c r="AL26" i="4"/>
  <c r="AL66" i="4" s="1"/>
  <c r="AL18" i="4"/>
  <c r="AL58" i="4" s="1"/>
  <c r="AO90" i="4"/>
  <c r="AO82" i="4"/>
  <c r="AN114" i="4"/>
  <c r="AN117" i="4"/>
  <c r="AN116" i="4"/>
  <c r="AO94" i="4"/>
  <c r="AP83" i="4"/>
  <c r="AO86" i="4"/>
  <c r="AO77" i="4"/>
  <c r="AN119" i="4"/>
  <c r="AN111" i="4"/>
  <c r="AR59" i="3"/>
  <c r="AR43" i="3"/>
  <c r="AS42" i="3"/>
  <c r="AQ44" i="3"/>
  <c r="AL23" i="3"/>
  <c r="AL52" i="3" s="1"/>
  <c r="AL24" i="3"/>
  <c r="AL53" i="3" s="1"/>
  <c r="AL22" i="3"/>
  <c r="AL51" i="3" s="1"/>
  <c r="AL21" i="3"/>
  <c r="AL50" i="3" s="1"/>
  <c r="AL15" i="3"/>
  <c r="AL35" i="3" s="1"/>
  <c r="AL20" i="3"/>
  <c r="AL49" i="3" s="1"/>
  <c r="AL16" i="3"/>
  <c r="AL36" i="3" s="1"/>
  <c r="AL14" i="3"/>
  <c r="AL34" i="3" s="1"/>
  <c r="AL17" i="3"/>
  <c r="AL37" i="3" s="1"/>
  <c r="AL13" i="3"/>
  <c r="AL33" i="3" s="1"/>
  <c r="AM3" i="6"/>
  <c r="AM3" i="4"/>
  <c r="AL5" i="4"/>
  <c r="AL5" i="6"/>
  <c r="AK32" i="3"/>
  <c r="AK48" i="3"/>
  <c r="AM41" i="3"/>
  <c r="AQ40" i="3"/>
  <c r="AQ58" i="3"/>
  <c r="AM56" i="3"/>
  <c r="AQ60" i="3"/>
  <c r="AQ57" i="3"/>
  <c r="AN3" i="1"/>
  <c r="AM3" i="3"/>
  <c r="AM5" i="1"/>
  <c r="AL5" i="3"/>
  <c r="AM5" i="12" l="1"/>
  <c r="AL5" i="11"/>
  <c r="AN3" i="12"/>
  <c r="AN4" i="1"/>
  <c r="AM3" i="11"/>
  <c r="AM4" i="12"/>
  <c r="AL4" i="11"/>
  <c r="AM4" i="6"/>
  <c r="AM4" i="4"/>
  <c r="AM4" i="3"/>
  <c r="AH17" i="11"/>
  <c r="AK38" i="6"/>
  <c r="AI11" i="11"/>
  <c r="AI13" i="11"/>
  <c r="AL42" i="6"/>
  <c r="AK48" i="4"/>
  <c r="AM31" i="6"/>
  <c r="AM75" i="6" s="1"/>
  <c r="AM34" i="6"/>
  <c r="AM78" i="6" s="1"/>
  <c r="AM30" i="6"/>
  <c r="AM74" i="6" s="1"/>
  <c r="AM33" i="6"/>
  <c r="AM77" i="6" s="1"/>
  <c r="AM29" i="6"/>
  <c r="AM73" i="6" s="1"/>
  <c r="AM28" i="6"/>
  <c r="AM72" i="6" s="1"/>
  <c r="AM22" i="6"/>
  <c r="AM52" i="6" s="1"/>
  <c r="AM27" i="6"/>
  <c r="AM71" i="6" s="1"/>
  <c r="AM32" i="6"/>
  <c r="AM76" i="6" s="1"/>
  <c r="AM26" i="6"/>
  <c r="AM70" i="6" s="1"/>
  <c r="AM17" i="6"/>
  <c r="AM47" i="6" s="1"/>
  <c r="AM20" i="6"/>
  <c r="AM50" i="6" s="1"/>
  <c r="AM19" i="6"/>
  <c r="AM49" i="6" s="1"/>
  <c r="AM21" i="6"/>
  <c r="AM51" i="6" s="1"/>
  <c r="AM16" i="6"/>
  <c r="AM46" i="6" s="1"/>
  <c r="AM14" i="6"/>
  <c r="AM44" i="6" s="1"/>
  <c r="AM13" i="6"/>
  <c r="AM43" i="6" s="1"/>
  <c r="AM18" i="6"/>
  <c r="AM48" i="6" s="1"/>
  <c r="AM25" i="6"/>
  <c r="AM69" i="6" s="1"/>
  <c r="AM15" i="6"/>
  <c r="AM45" i="6" s="1"/>
  <c r="AL68" i="6"/>
  <c r="AP86" i="6"/>
  <c r="AP63" i="6"/>
  <c r="AP82" i="6"/>
  <c r="AP84" i="6"/>
  <c r="AP64" i="6"/>
  <c r="AP56" i="6"/>
  <c r="AP62" i="6"/>
  <c r="AP57" i="6"/>
  <c r="AP90" i="6"/>
  <c r="AP87" i="6"/>
  <c r="AP61" i="6"/>
  <c r="AP55" i="6"/>
  <c r="AP83" i="6"/>
  <c r="AP59" i="6"/>
  <c r="AP85" i="6"/>
  <c r="AP89" i="6"/>
  <c r="AP88" i="6"/>
  <c r="AP81" i="6"/>
  <c r="AP60" i="6"/>
  <c r="AP58" i="6"/>
  <c r="AL98" i="4"/>
  <c r="AO111" i="4"/>
  <c r="AP77" i="4"/>
  <c r="AO116" i="4"/>
  <c r="AO114" i="4"/>
  <c r="AM43" i="4"/>
  <c r="AM107" i="4" s="1"/>
  <c r="AM39" i="4"/>
  <c r="AM103" i="4" s="1"/>
  <c r="AM42" i="4"/>
  <c r="AM106" i="4" s="1"/>
  <c r="AM38" i="4"/>
  <c r="AM102" i="4" s="1"/>
  <c r="AM36" i="4"/>
  <c r="AM100" i="4" s="1"/>
  <c r="AM30" i="4"/>
  <c r="AM70" i="4" s="1"/>
  <c r="AM26" i="4"/>
  <c r="AM66" i="4" s="1"/>
  <c r="AM22" i="4"/>
  <c r="AM62" i="4" s="1"/>
  <c r="AM18" i="4"/>
  <c r="AM58" i="4" s="1"/>
  <c r="AM41" i="4"/>
  <c r="AM105" i="4" s="1"/>
  <c r="AM28" i="4"/>
  <c r="AM68" i="4" s="1"/>
  <c r="AM24" i="4"/>
  <c r="AM64" i="4" s="1"/>
  <c r="AM20" i="4"/>
  <c r="AM60" i="4" s="1"/>
  <c r="AM16" i="4"/>
  <c r="AM56" i="4" s="1"/>
  <c r="AM37" i="4"/>
  <c r="AM101" i="4" s="1"/>
  <c r="AM32" i="4"/>
  <c r="AM72" i="4" s="1"/>
  <c r="AM27" i="4"/>
  <c r="AM67" i="4" s="1"/>
  <c r="AM19" i="4"/>
  <c r="AM59" i="4" s="1"/>
  <c r="AM13" i="4"/>
  <c r="AM53" i="4" s="1"/>
  <c r="AM25" i="4"/>
  <c r="AM65" i="4" s="1"/>
  <c r="AM21" i="4"/>
  <c r="AM61" i="4" s="1"/>
  <c r="AM35" i="4"/>
  <c r="AM99" i="4" s="1"/>
  <c r="AM17" i="4"/>
  <c r="AM57" i="4" s="1"/>
  <c r="AM14" i="4"/>
  <c r="AM54" i="4" s="1"/>
  <c r="AM44" i="4"/>
  <c r="AM108" i="4" s="1"/>
  <c r="AM31" i="4"/>
  <c r="AM71" i="4" s="1"/>
  <c r="AM23" i="4"/>
  <c r="AM63" i="4" s="1"/>
  <c r="AM15" i="4"/>
  <c r="AM55" i="4" s="1"/>
  <c r="AM40" i="4"/>
  <c r="AM104" i="4" s="1"/>
  <c r="AM29" i="4"/>
  <c r="AM69" i="4" s="1"/>
  <c r="AO119" i="4"/>
  <c r="AP86" i="4"/>
  <c r="AP94" i="4"/>
  <c r="AO117" i="4"/>
  <c r="AP82" i="4"/>
  <c r="AO112" i="4"/>
  <c r="AQ76" i="4"/>
  <c r="AQ91" i="4"/>
  <c r="AP87" i="4"/>
  <c r="AP80" i="4"/>
  <c r="AQ85" i="4"/>
  <c r="AP92" i="4"/>
  <c r="AP89" i="4"/>
  <c r="AO115" i="4"/>
  <c r="AL52" i="4"/>
  <c r="AQ83" i="4"/>
  <c r="AP90" i="4"/>
  <c r="AP81" i="4"/>
  <c r="AO120" i="4"/>
  <c r="AQ93" i="4"/>
  <c r="AO113" i="4"/>
  <c r="AP75" i="4"/>
  <c r="AP88" i="4"/>
  <c r="AQ84" i="4"/>
  <c r="AQ78" i="4"/>
  <c r="AO118" i="4"/>
  <c r="AP79" i="4"/>
  <c r="AS43" i="3"/>
  <c r="AS59" i="3"/>
  <c r="AR44" i="3"/>
  <c r="AT42" i="3"/>
  <c r="AM24" i="3"/>
  <c r="AM53" i="3" s="1"/>
  <c r="AM22" i="3"/>
  <c r="AM51" i="3" s="1"/>
  <c r="AM23" i="3"/>
  <c r="AM52" i="3" s="1"/>
  <c r="AM13" i="3"/>
  <c r="AM33" i="3" s="1"/>
  <c r="AM16" i="3"/>
  <c r="AM36" i="3" s="1"/>
  <c r="AM14" i="3"/>
  <c r="AM34" i="3" s="1"/>
  <c r="AM17" i="3"/>
  <c r="AM37" i="3" s="1"/>
  <c r="AM21" i="3"/>
  <c r="AM50" i="3" s="1"/>
  <c r="AM20" i="3"/>
  <c r="AM49" i="3" s="1"/>
  <c r="AM15" i="3"/>
  <c r="AM35" i="3" s="1"/>
  <c r="AN3" i="6"/>
  <c r="AN3" i="4"/>
  <c r="AM5" i="6"/>
  <c r="AM5" i="4"/>
  <c r="AK28" i="3"/>
  <c r="AL32" i="3"/>
  <c r="AR58" i="3"/>
  <c r="AL48" i="3"/>
  <c r="AR60" i="3"/>
  <c r="AR40" i="3"/>
  <c r="AN56" i="3"/>
  <c r="AR57" i="3"/>
  <c r="AN41" i="3"/>
  <c r="AN5" i="1"/>
  <c r="AM5" i="3"/>
  <c r="AO3" i="1"/>
  <c r="AN3" i="3"/>
  <c r="AL48" i="4" l="1"/>
  <c r="AK12" i="11" s="1"/>
  <c r="AN4" i="12"/>
  <c r="AM4" i="11"/>
  <c r="AN4" i="6"/>
  <c r="AN4" i="4"/>
  <c r="AN4" i="3"/>
  <c r="AN5" i="12"/>
  <c r="AM5" i="11"/>
  <c r="AO3" i="12"/>
  <c r="AO4" i="1"/>
  <c r="AN3" i="11"/>
  <c r="AI10" i="11"/>
  <c r="AI17" i="11" s="1"/>
  <c r="AJ11" i="11"/>
  <c r="AL38" i="6"/>
  <c r="AJ12" i="11"/>
  <c r="AJ13" i="11"/>
  <c r="AN34" i="6"/>
  <c r="AN78" i="6" s="1"/>
  <c r="AN30" i="6"/>
  <c r="AN74" i="6" s="1"/>
  <c r="AN33" i="6"/>
  <c r="AN77" i="6" s="1"/>
  <c r="AN29" i="6"/>
  <c r="AN73" i="6" s="1"/>
  <c r="AN32" i="6"/>
  <c r="AN76" i="6" s="1"/>
  <c r="AN27" i="6"/>
  <c r="AN71" i="6" s="1"/>
  <c r="AN21" i="6"/>
  <c r="AN51" i="6" s="1"/>
  <c r="AN26" i="6"/>
  <c r="AN70" i="6" s="1"/>
  <c r="AN25" i="6"/>
  <c r="AN69" i="6" s="1"/>
  <c r="AN20" i="6"/>
  <c r="AN50" i="6" s="1"/>
  <c r="AN16" i="6"/>
  <c r="AN46" i="6" s="1"/>
  <c r="AN31" i="6"/>
  <c r="AN75" i="6" s="1"/>
  <c r="AN22" i="6"/>
  <c r="AN52" i="6" s="1"/>
  <c r="AN19" i="6"/>
  <c r="AN49" i="6" s="1"/>
  <c r="AN18" i="6"/>
  <c r="AN48" i="6" s="1"/>
  <c r="AN28" i="6"/>
  <c r="AN72" i="6" s="1"/>
  <c r="AN17" i="6"/>
  <c r="AN47" i="6" s="1"/>
  <c r="AN13" i="6"/>
  <c r="AN43" i="6" s="1"/>
  <c r="AN15" i="6"/>
  <c r="AN45" i="6" s="1"/>
  <c r="AN14" i="6"/>
  <c r="AN44" i="6" s="1"/>
  <c r="AM68" i="6"/>
  <c r="AM42" i="6"/>
  <c r="AQ81" i="6"/>
  <c r="AQ58" i="6"/>
  <c r="AQ89" i="6"/>
  <c r="AQ55" i="6"/>
  <c r="AQ87" i="6"/>
  <c r="AQ56" i="6"/>
  <c r="AQ84" i="6"/>
  <c r="AQ63" i="6"/>
  <c r="AQ59" i="6"/>
  <c r="AQ57" i="6"/>
  <c r="AQ60" i="6"/>
  <c r="AQ88" i="6"/>
  <c r="AQ85" i="6"/>
  <c r="AQ83" i="6"/>
  <c r="AQ61" i="6"/>
  <c r="AQ90" i="6"/>
  <c r="AQ62" i="6"/>
  <c r="AQ64" i="6"/>
  <c r="AQ82" i="6"/>
  <c r="AQ86" i="6"/>
  <c r="AM98" i="4"/>
  <c r="AP118" i="4"/>
  <c r="AQ81" i="4"/>
  <c r="AR78" i="4"/>
  <c r="AQ89" i="4"/>
  <c r="AQ87" i="4"/>
  <c r="AQ82" i="4"/>
  <c r="AQ94" i="4"/>
  <c r="AP119" i="4"/>
  <c r="AM52" i="4"/>
  <c r="AP114" i="4"/>
  <c r="AQ77" i="4"/>
  <c r="AR85" i="4"/>
  <c r="AR76" i="4"/>
  <c r="AQ79" i="4"/>
  <c r="AQ88" i="4"/>
  <c r="AP113" i="4"/>
  <c r="AP120" i="4"/>
  <c r="AQ90" i="4"/>
  <c r="AR91" i="4"/>
  <c r="AN42" i="4"/>
  <c r="AN106" i="4" s="1"/>
  <c r="AN38" i="4"/>
  <c r="AN102" i="4" s="1"/>
  <c r="AN41" i="4"/>
  <c r="AN105" i="4" s="1"/>
  <c r="AN44" i="4"/>
  <c r="AN108" i="4" s="1"/>
  <c r="AN43" i="4"/>
  <c r="AN107" i="4" s="1"/>
  <c r="AN40" i="4"/>
  <c r="AN104" i="4" s="1"/>
  <c r="AN39" i="4"/>
  <c r="AN103" i="4" s="1"/>
  <c r="AN35" i="4"/>
  <c r="AN99" i="4" s="1"/>
  <c r="AN29" i="4"/>
  <c r="AN69" i="4" s="1"/>
  <c r="AN25" i="4"/>
  <c r="AN65" i="4" s="1"/>
  <c r="AN21" i="4"/>
  <c r="AN61" i="4" s="1"/>
  <c r="AN17" i="4"/>
  <c r="AN57" i="4" s="1"/>
  <c r="AN37" i="4"/>
  <c r="AN101" i="4" s="1"/>
  <c r="AN32" i="4"/>
  <c r="AN72" i="4" s="1"/>
  <c r="AN31" i="4"/>
  <c r="AN71" i="4" s="1"/>
  <c r="AN27" i="4"/>
  <c r="AN67" i="4" s="1"/>
  <c r="AN23" i="4"/>
  <c r="AN63" i="4" s="1"/>
  <c r="AN19" i="4"/>
  <c r="AN59" i="4" s="1"/>
  <c r="AN30" i="4"/>
  <c r="AN70" i="4" s="1"/>
  <c r="AN22" i="4"/>
  <c r="AN62" i="4" s="1"/>
  <c r="AN15" i="4"/>
  <c r="AN55" i="4" s="1"/>
  <c r="AN16" i="4"/>
  <c r="AN56" i="4" s="1"/>
  <c r="AN28" i="4"/>
  <c r="AN68" i="4" s="1"/>
  <c r="AN20" i="4"/>
  <c r="AN60" i="4" s="1"/>
  <c r="AN36" i="4"/>
  <c r="AN100" i="4" s="1"/>
  <c r="AN26" i="4"/>
  <c r="AN66" i="4" s="1"/>
  <c r="AN18" i="4"/>
  <c r="AN58" i="4" s="1"/>
  <c r="AN14" i="4"/>
  <c r="AN54" i="4" s="1"/>
  <c r="AN24" i="4"/>
  <c r="AN64" i="4" s="1"/>
  <c r="AN13" i="4"/>
  <c r="AN53" i="4" s="1"/>
  <c r="AQ75" i="4"/>
  <c r="AR84" i="4"/>
  <c r="AR93" i="4"/>
  <c r="AR83" i="4"/>
  <c r="AP115" i="4"/>
  <c r="AQ92" i="4"/>
  <c r="AQ80" i="4"/>
  <c r="AP112" i="4"/>
  <c r="AP117" i="4"/>
  <c r="AQ86" i="4"/>
  <c r="AP116" i="4"/>
  <c r="AP111" i="4"/>
  <c r="AT59" i="3"/>
  <c r="AT43" i="3"/>
  <c r="AU42" i="3"/>
  <c r="AS44" i="3"/>
  <c r="AN21" i="3"/>
  <c r="AN50" i="3" s="1"/>
  <c r="AN20" i="3"/>
  <c r="AN49" i="3" s="1"/>
  <c r="AN24" i="3"/>
  <c r="AN53" i="3" s="1"/>
  <c r="AN22" i="3"/>
  <c r="AN51" i="3" s="1"/>
  <c r="AN17" i="3"/>
  <c r="AN37" i="3" s="1"/>
  <c r="AN16" i="3"/>
  <c r="AN36" i="3" s="1"/>
  <c r="AN14" i="3"/>
  <c r="AN34" i="3" s="1"/>
  <c r="AN13" i="3"/>
  <c r="AN33" i="3" s="1"/>
  <c r="AN23" i="3"/>
  <c r="AN52" i="3" s="1"/>
  <c r="AN15" i="3"/>
  <c r="AN35" i="3" s="1"/>
  <c r="AN5" i="6"/>
  <c r="AN5" i="4"/>
  <c r="AO3" i="4"/>
  <c r="AO3" i="6"/>
  <c r="AM48" i="3"/>
  <c r="AM32" i="3"/>
  <c r="AO56" i="3"/>
  <c r="AS57" i="3"/>
  <c r="AL28" i="3"/>
  <c r="AS60" i="3"/>
  <c r="AO41" i="3"/>
  <c r="AS40" i="3"/>
  <c r="AS58" i="3"/>
  <c r="AO3" i="3"/>
  <c r="AP3" i="1"/>
  <c r="AO5" i="1"/>
  <c r="AN5" i="3"/>
  <c r="AP3" i="12" l="1"/>
  <c r="AP4" i="1"/>
  <c r="AO3" i="11"/>
  <c r="AO5" i="12"/>
  <c r="AN5" i="11"/>
  <c r="AO4" i="12"/>
  <c r="AN4" i="11"/>
  <c r="AO4" i="6"/>
  <c r="AO4" i="4"/>
  <c r="AO4" i="3"/>
  <c r="AJ10" i="11"/>
  <c r="AJ17" i="11" s="1"/>
  <c r="AK11" i="11"/>
  <c r="AK13" i="11"/>
  <c r="AM38" i="6"/>
  <c r="AM48" i="4"/>
  <c r="AN68" i="6"/>
  <c r="AO33" i="6"/>
  <c r="AO77" i="6" s="1"/>
  <c r="AO29" i="6"/>
  <c r="AO73" i="6" s="1"/>
  <c r="AO32" i="6"/>
  <c r="AO76" i="6" s="1"/>
  <c r="AO31" i="6"/>
  <c r="AO75" i="6" s="1"/>
  <c r="AO30" i="6"/>
  <c r="AO74" i="6" s="1"/>
  <c r="AO26" i="6"/>
  <c r="AO70" i="6" s="1"/>
  <c r="AO25" i="6"/>
  <c r="AO69" i="6" s="1"/>
  <c r="AO28" i="6"/>
  <c r="AO72" i="6" s="1"/>
  <c r="AO22" i="6"/>
  <c r="AO52" i="6" s="1"/>
  <c r="AO27" i="6"/>
  <c r="AO71" i="6" s="1"/>
  <c r="AO19" i="6"/>
  <c r="AO49" i="6" s="1"/>
  <c r="AO15" i="6"/>
  <c r="AO45" i="6" s="1"/>
  <c r="AO18" i="6"/>
  <c r="AO48" i="6" s="1"/>
  <c r="AO21" i="6"/>
  <c r="AO51" i="6" s="1"/>
  <c r="AO17" i="6"/>
  <c r="AO47" i="6" s="1"/>
  <c r="AO20" i="6"/>
  <c r="AO50" i="6" s="1"/>
  <c r="AO34" i="6"/>
  <c r="AO78" i="6" s="1"/>
  <c r="AO14" i="6"/>
  <c r="AO44" i="6" s="1"/>
  <c r="AO16" i="6"/>
  <c r="AO46" i="6" s="1"/>
  <c r="AO13" i="6"/>
  <c r="AO43" i="6" s="1"/>
  <c r="AN42" i="6"/>
  <c r="AR64" i="6"/>
  <c r="AR83" i="6"/>
  <c r="AR57" i="6"/>
  <c r="AR63" i="6"/>
  <c r="AR56" i="6"/>
  <c r="AR58" i="6"/>
  <c r="AR86" i="6"/>
  <c r="AR90" i="6"/>
  <c r="AR88" i="6"/>
  <c r="AR55" i="6"/>
  <c r="AR82" i="6"/>
  <c r="AR62" i="6"/>
  <c r="AR61" i="6"/>
  <c r="AR85" i="6"/>
  <c r="AR60" i="6"/>
  <c r="AR59" i="6"/>
  <c r="AR84" i="6"/>
  <c r="AR87" i="6"/>
  <c r="AR89" i="6"/>
  <c r="AR81" i="6"/>
  <c r="AN98" i="4"/>
  <c r="AN52" i="4"/>
  <c r="AQ116" i="4"/>
  <c r="AQ117" i="4"/>
  <c r="AQ115" i="4"/>
  <c r="AQ120" i="4"/>
  <c r="AR82" i="4"/>
  <c r="AR89" i="4"/>
  <c r="AR81" i="4"/>
  <c r="AR86" i="4"/>
  <c r="AR92" i="4"/>
  <c r="AS83" i="4"/>
  <c r="AS84" i="4"/>
  <c r="AR90" i="4"/>
  <c r="AR79" i="4"/>
  <c r="AS85" i="4"/>
  <c r="AQ119" i="4"/>
  <c r="AO41" i="4"/>
  <c r="AO105" i="4" s="1"/>
  <c r="AO44" i="4"/>
  <c r="AO108" i="4" s="1"/>
  <c r="AO43" i="4"/>
  <c r="AO107" i="4" s="1"/>
  <c r="AO28" i="4"/>
  <c r="AO68" i="4" s="1"/>
  <c r="AO24" i="4"/>
  <c r="AO64" i="4" s="1"/>
  <c r="AO20" i="4"/>
  <c r="AO60" i="4" s="1"/>
  <c r="AO16" i="4"/>
  <c r="AO56" i="4" s="1"/>
  <c r="AO36" i="4"/>
  <c r="AO100" i="4" s="1"/>
  <c r="AO30" i="4"/>
  <c r="AO70" i="4" s="1"/>
  <c r="AO26" i="4"/>
  <c r="AO66" i="4" s="1"/>
  <c r="AO22" i="4"/>
  <c r="AO62" i="4" s="1"/>
  <c r="AO18" i="4"/>
  <c r="AO58" i="4" s="1"/>
  <c r="AO35" i="4"/>
  <c r="AO99" i="4" s="1"/>
  <c r="AO25" i="4"/>
  <c r="AO65" i="4" s="1"/>
  <c r="AO17" i="4"/>
  <c r="AO57" i="4" s="1"/>
  <c r="AO15" i="4"/>
  <c r="AO55" i="4" s="1"/>
  <c r="AO14" i="4"/>
  <c r="AO54" i="4" s="1"/>
  <c r="AO31" i="4"/>
  <c r="AO71" i="4" s="1"/>
  <c r="AO23" i="4"/>
  <c r="AO63" i="4" s="1"/>
  <c r="AO19" i="4"/>
  <c r="AO59" i="4" s="1"/>
  <c r="AO42" i="4"/>
  <c r="AO106" i="4" s="1"/>
  <c r="AO40" i="4"/>
  <c r="AO104" i="4" s="1"/>
  <c r="AO39" i="4"/>
  <c r="AO103" i="4" s="1"/>
  <c r="AO38" i="4"/>
  <c r="AO102" i="4" s="1"/>
  <c r="AO29" i="4"/>
  <c r="AO69" i="4" s="1"/>
  <c r="AO21" i="4"/>
  <c r="AO61" i="4" s="1"/>
  <c r="AO13" i="4"/>
  <c r="AO53" i="4" s="1"/>
  <c r="AO37" i="4"/>
  <c r="AO101" i="4" s="1"/>
  <c r="AO32" i="4"/>
  <c r="AO72" i="4" s="1"/>
  <c r="AO27" i="4"/>
  <c r="AO67" i="4" s="1"/>
  <c r="AQ111" i="4"/>
  <c r="AQ112" i="4"/>
  <c r="AQ113" i="4"/>
  <c r="AQ114" i="4"/>
  <c r="AR94" i="4"/>
  <c r="AR87" i="4"/>
  <c r="AS78" i="4"/>
  <c r="AR80" i="4"/>
  <c r="AS93" i="4"/>
  <c r="AR75" i="4"/>
  <c r="AS91" i="4"/>
  <c r="AR88" i="4"/>
  <c r="AS76" i="4"/>
  <c r="AR77" i="4"/>
  <c r="AQ118" i="4"/>
  <c r="AU43" i="3"/>
  <c r="AU59" i="3"/>
  <c r="AT44" i="3"/>
  <c r="AV42" i="3"/>
  <c r="AO24" i="3"/>
  <c r="AO53" i="3" s="1"/>
  <c r="AO17" i="3"/>
  <c r="AO37" i="3" s="1"/>
  <c r="AO16" i="3"/>
  <c r="AO36" i="3" s="1"/>
  <c r="AO20" i="3"/>
  <c r="AO49" i="3" s="1"/>
  <c r="AO13" i="3"/>
  <c r="AO33" i="3" s="1"/>
  <c r="AO22" i="3"/>
  <c r="AO51" i="3" s="1"/>
  <c r="AO23" i="3"/>
  <c r="AO52" i="3" s="1"/>
  <c r="AO21" i="3"/>
  <c r="AO50" i="3" s="1"/>
  <c r="AO15" i="3"/>
  <c r="AO35" i="3" s="1"/>
  <c r="AO14" i="3"/>
  <c r="AO34" i="3" s="1"/>
  <c r="AO5" i="4"/>
  <c r="AO5" i="6"/>
  <c r="AP3" i="4"/>
  <c r="AP3" i="6"/>
  <c r="AM28" i="3"/>
  <c r="AN32" i="3"/>
  <c r="AN48" i="3"/>
  <c r="AT58" i="3"/>
  <c r="AT40" i="3"/>
  <c r="AT57" i="3"/>
  <c r="AP41" i="3"/>
  <c r="AT60" i="3"/>
  <c r="AP56" i="3"/>
  <c r="AP5" i="1"/>
  <c r="AO5" i="3"/>
  <c r="AQ3" i="1"/>
  <c r="AP3" i="3"/>
  <c r="AQ3" i="12" l="1"/>
  <c r="AQ4" i="1"/>
  <c r="AP3" i="11"/>
  <c r="AP5" i="12"/>
  <c r="AO5" i="11"/>
  <c r="AP4" i="12"/>
  <c r="AP4" i="3"/>
  <c r="AO4" i="11"/>
  <c r="AP4" i="6"/>
  <c r="AP4" i="4"/>
  <c r="AN48" i="4"/>
  <c r="AM12" i="11" s="1"/>
  <c r="AL12" i="11"/>
  <c r="AL11" i="11"/>
  <c r="AL13" i="11"/>
  <c r="AK10" i="11"/>
  <c r="AK17" i="11" s="1"/>
  <c r="AO68" i="6"/>
  <c r="AN38" i="6"/>
  <c r="AP32" i="6"/>
  <c r="AP76" i="6" s="1"/>
  <c r="AP28" i="6"/>
  <c r="AP72" i="6" s="1"/>
  <c r="AP31" i="6"/>
  <c r="AP75" i="6" s="1"/>
  <c r="AP34" i="6"/>
  <c r="AP78" i="6" s="1"/>
  <c r="AP30" i="6"/>
  <c r="AP74" i="6" s="1"/>
  <c r="AP33" i="6"/>
  <c r="AP77" i="6" s="1"/>
  <c r="AP25" i="6"/>
  <c r="AP69" i="6" s="1"/>
  <c r="AP29" i="6"/>
  <c r="AP73" i="6" s="1"/>
  <c r="AP27" i="6"/>
  <c r="AP71" i="6" s="1"/>
  <c r="AP22" i="6"/>
  <c r="AP52" i="6" s="1"/>
  <c r="AP18" i="6"/>
  <c r="AP48" i="6" s="1"/>
  <c r="AP26" i="6"/>
  <c r="AP70" i="6" s="1"/>
  <c r="AP21" i="6"/>
  <c r="AP51" i="6" s="1"/>
  <c r="AP17" i="6"/>
  <c r="AP47" i="6" s="1"/>
  <c r="AP20" i="6"/>
  <c r="AP50" i="6" s="1"/>
  <c r="AP16" i="6"/>
  <c r="AP46" i="6" s="1"/>
  <c r="AP15" i="6"/>
  <c r="AP45" i="6" s="1"/>
  <c r="AP19" i="6"/>
  <c r="AP49" i="6" s="1"/>
  <c r="AP14" i="6"/>
  <c r="AP44" i="6" s="1"/>
  <c r="AP13" i="6"/>
  <c r="AP43" i="6" s="1"/>
  <c r="AO42" i="6"/>
  <c r="AS87" i="6"/>
  <c r="AS85" i="6"/>
  <c r="AS55" i="6"/>
  <c r="AS58" i="6"/>
  <c r="AS83" i="6"/>
  <c r="AS81" i="6"/>
  <c r="AS59" i="6"/>
  <c r="AS62" i="6"/>
  <c r="AS90" i="6"/>
  <c r="AS63" i="6"/>
  <c r="AO98" i="4"/>
  <c r="AS89" i="6"/>
  <c r="AS84" i="6"/>
  <c r="AS60" i="6"/>
  <c r="AS61" i="6"/>
  <c r="AS82" i="6"/>
  <c r="AS88" i="6"/>
  <c r="AS86" i="6"/>
  <c r="AS56" i="6"/>
  <c r="AS57" i="6"/>
  <c r="AS64" i="6"/>
  <c r="AO52" i="4"/>
  <c r="AS75" i="4"/>
  <c r="AS80" i="4"/>
  <c r="AS87" i="4"/>
  <c r="AR114" i="4"/>
  <c r="AR112" i="4"/>
  <c r="AT85" i="4"/>
  <c r="AS90" i="4"/>
  <c r="AT83" i="4"/>
  <c r="AS86" i="4"/>
  <c r="AS89" i="4"/>
  <c r="AR120" i="4"/>
  <c r="AR117" i="4"/>
  <c r="AS88" i="4"/>
  <c r="AP44" i="4"/>
  <c r="AP108" i="4" s="1"/>
  <c r="AP40" i="4"/>
  <c r="AP104" i="4" s="1"/>
  <c r="AP43" i="4"/>
  <c r="AP107" i="4" s="1"/>
  <c r="AP37" i="4"/>
  <c r="AP101" i="4" s="1"/>
  <c r="AP32" i="4"/>
  <c r="AP72" i="4" s="1"/>
  <c r="AP31" i="4"/>
  <c r="AP71" i="4" s="1"/>
  <c r="AP27" i="4"/>
  <c r="AP67" i="4" s="1"/>
  <c r="AP23" i="4"/>
  <c r="AP63" i="4" s="1"/>
  <c r="AP19" i="4"/>
  <c r="AP59" i="4" s="1"/>
  <c r="AP42" i="4"/>
  <c r="AP106" i="4" s="1"/>
  <c r="AP39" i="4"/>
  <c r="AP103" i="4" s="1"/>
  <c r="AP38" i="4"/>
  <c r="AP102" i="4" s="1"/>
  <c r="AP35" i="4"/>
  <c r="AP99" i="4" s="1"/>
  <c r="AP29" i="4"/>
  <c r="AP69" i="4" s="1"/>
  <c r="AP25" i="4"/>
  <c r="AP65" i="4" s="1"/>
  <c r="AP21" i="4"/>
  <c r="AP61" i="4" s="1"/>
  <c r="AP17" i="4"/>
  <c r="AP57" i="4" s="1"/>
  <c r="AP28" i="4"/>
  <c r="AP68" i="4" s="1"/>
  <c r="AP20" i="4"/>
  <c r="AP60" i="4" s="1"/>
  <c r="AP14" i="4"/>
  <c r="AP54" i="4" s="1"/>
  <c r="AP13" i="4"/>
  <c r="AP53" i="4" s="1"/>
  <c r="AP22" i="4"/>
  <c r="AP62" i="4" s="1"/>
  <c r="AP36" i="4"/>
  <c r="AP100" i="4" s="1"/>
  <c r="AP26" i="4"/>
  <c r="AP66" i="4" s="1"/>
  <c r="AP18" i="4"/>
  <c r="AP58" i="4" s="1"/>
  <c r="AP15" i="4"/>
  <c r="AP55" i="4" s="1"/>
  <c r="AP24" i="4"/>
  <c r="AP64" i="4" s="1"/>
  <c r="AP16" i="4"/>
  <c r="AP56" i="4" s="1"/>
  <c r="AP41" i="4"/>
  <c r="AP105" i="4" s="1"/>
  <c r="AP30" i="4"/>
  <c r="AP70" i="4" s="1"/>
  <c r="AS77" i="4"/>
  <c r="AR118" i="4"/>
  <c r="AT76" i="4"/>
  <c r="AT91" i="4"/>
  <c r="AT93" i="4"/>
  <c r="AT78" i="4"/>
  <c r="AS94" i="4"/>
  <c r="AR113" i="4"/>
  <c r="AR111" i="4"/>
  <c r="AR119" i="4"/>
  <c r="AS79" i="4"/>
  <c r="AT84" i="4"/>
  <c r="AS92" i="4"/>
  <c r="AS81" i="4"/>
  <c r="AS82" i="4"/>
  <c r="AR115" i="4"/>
  <c r="AR116" i="4"/>
  <c r="AV59" i="3"/>
  <c r="AV43" i="3"/>
  <c r="AW42" i="3"/>
  <c r="AU44" i="3"/>
  <c r="AP23" i="3"/>
  <c r="AP52" i="3" s="1"/>
  <c r="AP16" i="3"/>
  <c r="AP36" i="3" s="1"/>
  <c r="AP20" i="3"/>
  <c r="AP49" i="3" s="1"/>
  <c r="AP17" i="3"/>
  <c r="AP37" i="3" s="1"/>
  <c r="AP15" i="3"/>
  <c r="AP35" i="3" s="1"/>
  <c r="AP21" i="3"/>
  <c r="AP50" i="3" s="1"/>
  <c r="AP14" i="3"/>
  <c r="AP34" i="3" s="1"/>
  <c r="AP22" i="3"/>
  <c r="AP51" i="3" s="1"/>
  <c r="AP24" i="3"/>
  <c r="AP53" i="3" s="1"/>
  <c r="AP13" i="3"/>
  <c r="AP33" i="3" s="1"/>
  <c r="AP5" i="6"/>
  <c r="AP5" i="4"/>
  <c r="AQ3" i="4"/>
  <c r="AQ3" i="6"/>
  <c r="AO48" i="3"/>
  <c r="AO32" i="3"/>
  <c r="AU60" i="3"/>
  <c r="AU57" i="3"/>
  <c r="AU58" i="3"/>
  <c r="AN28" i="3"/>
  <c r="AQ56" i="3"/>
  <c r="AQ41" i="3"/>
  <c r="AU40" i="3"/>
  <c r="AR3" i="1"/>
  <c r="AQ3" i="3"/>
  <c r="AQ5" i="1"/>
  <c r="AP5" i="3"/>
  <c r="AQ5" i="12" l="1"/>
  <c r="AP5" i="11"/>
  <c r="AQ4" i="12"/>
  <c r="AP4" i="11"/>
  <c r="AQ4" i="6"/>
  <c r="AQ4" i="4"/>
  <c r="AQ4" i="3"/>
  <c r="AR3" i="12"/>
  <c r="AR4" i="1"/>
  <c r="AQ3" i="11"/>
  <c r="AL10" i="11"/>
  <c r="AL17" i="11" s="1"/>
  <c r="AO38" i="6"/>
  <c r="AM11" i="11"/>
  <c r="AM13" i="11"/>
  <c r="AO48" i="4"/>
  <c r="AP42" i="6"/>
  <c r="AQ31" i="6"/>
  <c r="AQ75" i="6" s="1"/>
  <c r="AQ34" i="6"/>
  <c r="AQ78" i="6" s="1"/>
  <c r="AQ30" i="6"/>
  <c r="AQ74" i="6" s="1"/>
  <c r="AQ33" i="6"/>
  <c r="AQ77" i="6" s="1"/>
  <c r="AQ29" i="6"/>
  <c r="AQ73" i="6" s="1"/>
  <c r="AQ22" i="6"/>
  <c r="AQ52" i="6" s="1"/>
  <c r="AQ32" i="6"/>
  <c r="AQ76" i="6" s="1"/>
  <c r="AQ28" i="6"/>
  <c r="AQ72" i="6" s="1"/>
  <c r="AQ27" i="6"/>
  <c r="AQ71" i="6" s="1"/>
  <c r="AQ26" i="6"/>
  <c r="AQ70" i="6" s="1"/>
  <c r="AQ21" i="6"/>
  <c r="AQ51" i="6" s="1"/>
  <c r="AQ17" i="6"/>
  <c r="AQ47" i="6" s="1"/>
  <c r="AQ20" i="6"/>
  <c r="AQ50" i="6" s="1"/>
  <c r="AQ25" i="6"/>
  <c r="AQ69" i="6" s="1"/>
  <c r="AQ19" i="6"/>
  <c r="AQ49" i="6" s="1"/>
  <c r="AQ14" i="6"/>
  <c r="AQ44" i="6" s="1"/>
  <c r="AQ13" i="6"/>
  <c r="AQ43" i="6" s="1"/>
  <c r="AQ18" i="6"/>
  <c r="AQ48" i="6" s="1"/>
  <c r="AQ16" i="6"/>
  <c r="AQ46" i="6" s="1"/>
  <c r="AQ15" i="6"/>
  <c r="AQ45" i="6" s="1"/>
  <c r="AP68" i="6"/>
  <c r="AT64" i="6"/>
  <c r="AT88" i="6"/>
  <c r="AT84" i="6"/>
  <c r="AT63" i="6"/>
  <c r="AT81" i="6"/>
  <c r="AT58" i="6"/>
  <c r="AT57" i="6"/>
  <c r="AT86" i="6"/>
  <c r="AT82" i="6"/>
  <c r="AT60" i="6"/>
  <c r="AT89" i="6"/>
  <c r="AT56" i="6"/>
  <c r="AT61" i="6"/>
  <c r="AT62" i="6"/>
  <c r="AT85" i="6"/>
  <c r="AT90" i="6"/>
  <c r="AT59" i="6"/>
  <c r="AT83" i="6"/>
  <c r="AT55" i="6"/>
  <c r="AT87" i="6"/>
  <c r="AP98" i="4"/>
  <c r="AQ43" i="4"/>
  <c r="AQ107" i="4" s="1"/>
  <c r="AQ39" i="4"/>
  <c r="AQ103" i="4" s="1"/>
  <c r="AQ42" i="4"/>
  <c r="AQ106" i="4" s="1"/>
  <c r="AQ41" i="4"/>
  <c r="AQ105" i="4" s="1"/>
  <c r="AQ36" i="4"/>
  <c r="AQ100" i="4" s="1"/>
  <c r="AQ30" i="4"/>
  <c r="AQ70" i="4" s="1"/>
  <c r="AQ26" i="4"/>
  <c r="AQ66" i="4" s="1"/>
  <c r="AQ22" i="4"/>
  <c r="AQ62" i="4" s="1"/>
  <c r="AQ18" i="4"/>
  <c r="AQ58" i="4" s="1"/>
  <c r="AQ44" i="4"/>
  <c r="AQ108" i="4" s="1"/>
  <c r="AQ40" i="4"/>
  <c r="AQ104" i="4" s="1"/>
  <c r="AQ28" i="4"/>
  <c r="AQ68" i="4" s="1"/>
  <c r="AQ24" i="4"/>
  <c r="AQ64" i="4" s="1"/>
  <c r="AQ20" i="4"/>
  <c r="AQ60" i="4" s="1"/>
  <c r="AQ16" i="4"/>
  <c r="AQ56" i="4" s="1"/>
  <c r="AQ31" i="4"/>
  <c r="AQ71" i="4" s="1"/>
  <c r="AQ23" i="4"/>
  <c r="AQ63" i="4" s="1"/>
  <c r="AQ13" i="4"/>
  <c r="AQ53" i="4" s="1"/>
  <c r="AQ21" i="4"/>
  <c r="AQ61" i="4" s="1"/>
  <c r="AQ38" i="4"/>
  <c r="AQ102" i="4" s="1"/>
  <c r="AQ29" i="4"/>
  <c r="AQ69" i="4" s="1"/>
  <c r="AQ37" i="4"/>
  <c r="AQ101" i="4" s="1"/>
  <c r="AQ32" i="4"/>
  <c r="AQ72" i="4" s="1"/>
  <c r="AQ27" i="4"/>
  <c r="AQ67" i="4" s="1"/>
  <c r="AQ19" i="4"/>
  <c r="AQ59" i="4" s="1"/>
  <c r="AQ15" i="4"/>
  <c r="AQ55" i="4" s="1"/>
  <c r="AQ35" i="4"/>
  <c r="AQ99" i="4" s="1"/>
  <c r="AQ25" i="4"/>
  <c r="AQ65" i="4" s="1"/>
  <c r="AQ17" i="4"/>
  <c r="AQ57" i="4" s="1"/>
  <c r="AQ14" i="4"/>
  <c r="AQ54" i="4" s="1"/>
  <c r="AU84" i="4"/>
  <c r="AU78" i="4"/>
  <c r="AS117" i="4"/>
  <c r="AU83" i="4"/>
  <c r="AS114" i="4"/>
  <c r="AP52" i="4"/>
  <c r="AT81" i="4"/>
  <c r="AS119" i="4"/>
  <c r="AU91" i="4"/>
  <c r="AT89" i="4"/>
  <c r="AU85" i="4"/>
  <c r="AT80" i="4"/>
  <c r="AS116" i="4"/>
  <c r="AT82" i="4"/>
  <c r="AT92" i="4"/>
  <c r="AT79" i="4"/>
  <c r="AS111" i="4"/>
  <c r="AT94" i="4"/>
  <c r="AU93" i="4"/>
  <c r="AU76" i="4"/>
  <c r="AT77" i="4"/>
  <c r="AT88" i="4"/>
  <c r="AS120" i="4"/>
  <c r="AT86" i="4"/>
  <c r="AT90" i="4"/>
  <c r="AS112" i="4"/>
  <c r="AT87" i="4"/>
  <c r="AT75" i="4"/>
  <c r="AS115" i="4"/>
  <c r="AS113" i="4"/>
  <c r="AS118" i="4"/>
  <c r="AW43" i="3"/>
  <c r="AW59" i="3"/>
  <c r="AV44" i="3"/>
  <c r="AX42" i="3"/>
  <c r="AP32" i="3"/>
  <c r="AQ24" i="3"/>
  <c r="AQ53" i="3" s="1"/>
  <c r="AQ22" i="3"/>
  <c r="AQ51" i="3" s="1"/>
  <c r="AQ21" i="3"/>
  <c r="AQ50" i="3" s="1"/>
  <c r="AQ14" i="3"/>
  <c r="AQ34" i="3" s="1"/>
  <c r="AQ23" i="3"/>
  <c r="AQ52" i="3" s="1"/>
  <c r="AQ15" i="3"/>
  <c r="AQ35" i="3" s="1"/>
  <c r="AQ13" i="3"/>
  <c r="AQ33" i="3" s="1"/>
  <c r="AQ20" i="3"/>
  <c r="AQ49" i="3" s="1"/>
  <c r="AQ16" i="3"/>
  <c r="AQ36" i="3" s="1"/>
  <c r="AQ17" i="3"/>
  <c r="AQ37" i="3" s="1"/>
  <c r="AR3" i="6"/>
  <c r="AR3" i="4"/>
  <c r="AQ5" i="6"/>
  <c r="AQ5" i="4"/>
  <c r="AP48" i="3"/>
  <c r="AV40" i="3"/>
  <c r="AR56" i="3"/>
  <c r="AV58" i="3"/>
  <c r="AV57" i="3"/>
  <c r="AV60" i="3"/>
  <c r="AR41" i="3"/>
  <c r="AO28" i="3"/>
  <c r="AR5" i="1"/>
  <c r="AQ5" i="3"/>
  <c r="AS3" i="1"/>
  <c r="AR3" i="3"/>
  <c r="AP48" i="4" l="1"/>
  <c r="AO12" i="11" s="1"/>
  <c r="AS3" i="12"/>
  <c r="AS4" i="1"/>
  <c r="AR3" i="11"/>
  <c r="AR5" i="12"/>
  <c r="AQ5" i="11"/>
  <c r="AR4" i="12"/>
  <c r="AQ4" i="11"/>
  <c r="AR4" i="6"/>
  <c r="AR4" i="4"/>
  <c r="AR4" i="3"/>
  <c r="AM10" i="11"/>
  <c r="AM17" i="11" s="1"/>
  <c r="AN12" i="11"/>
  <c r="AN11" i="11"/>
  <c r="AN13" i="11"/>
  <c r="AP38" i="6"/>
  <c r="AR34" i="6"/>
  <c r="AR78" i="6" s="1"/>
  <c r="AR30" i="6"/>
  <c r="AR74" i="6" s="1"/>
  <c r="AR33" i="6"/>
  <c r="AR77" i="6" s="1"/>
  <c r="AR29" i="6"/>
  <c r="AR73" i="6" s="1"/>
  <c r="AR32" i="6"/>
  <c r="AR76" i="6" s="1"/>
  <c r="AR28" i="6"/>
  <c r="AR72" i="6" s="1"/>
  <c r="AR27" i="6"/>
  <c r="AR71" i="6" s="1"/>
  <c r="AR21" i="6"/>
  <c r="AR51" i="6" s="1"/>
  <c r="AR26" i="6"/>
  <c r="AR70" i="6" s="1"/>
  <c r="AR31" i="6"/>
  <c r="AR75" i="6" s="1"/>
  <c r="AR25" i="6"/>
  <c r="AR69" i="6" s="1"/>
  <c r="AR20" i="6"/>
  <c r="AR50" i="6" s="1"/>
  <c r="AR16" i="6"/>
  <c r="AR46" i="6" s="1"/>
  <c r="AR19" i="6"/>
  <c r="AR49" i="6" s="1"/>
  <c r="AR18" i="6"/>
  <c r="AR48" i="6" s="1"/>
  <c r="AR13" i="6"/>
  <c r="AR43" i="6" s="1"/>
  <c r="AR22" i="6"/>
  <c r="AR52" i="6" s="1"/>
  <c r="AR17" i="6"/>
  <c r="AR47" i="6" s="1"/>
  <c r="AR14" i="6"/>
  <c r="AR44" i="6" s="1"/>
  <c r="AR15" i="6"/>
  <c r="AR45" i="6" s="1"/>
  <c r="AQ68" i="6"/>
  <c r="AQ42" i="6"/>
  <c r="AU83" i="6"/>
  <c r="AU62" i="6"/>
  <c r="AU60" i="6"/>
  <c r="AU58" i="6"/>
  <c r="AU63" i="6"/>
  <c r="AU87" i="6"/>
  <c r="AU90" i="6"/>
  <c r="AU56" i="6"/>
  <c r="AU86" i="6"/>
  <c r="AU88" i="6"/>
  <c r="AU55" i="6"/>
  <c r="AU59" i="6"/>
  <c r="AU85" i="6"/>
  <c r="AU61" i="6"/>
  <c r="AU89" i="6"/>
  <c r="AU82" i="6"/>
  <c r="AU57" i="6"/>
  <c r="AU81" i="6"/>
  <c r="AU84" i="6"/>
  <c r="AU64" i="6"/>
  <c r="AQ98" i="4"/>
  <c r="AP28" i="3"/>
  <c r="AT115" i="4"/>
  <c r="AU90" i="4"/>
  <c r="AT120" i="4"/>
  <c r="AU77" i="4"/>
  <c r="AV93" i="4"/>
  <c r="AT111" i="4"/>
  <c r="AU92" i="4"/>
  <c r="AT116" i="4"/>
  <c r="AV85" i="4"/>
  <c r="AV91" i="4"/>
  <c r="AU81" i="4"/>
  <c r="AT114" i="4"/>
  <c r="AV84" i="4"/>
  <c r="AT118" i="4"/>
  <c r="AU87" i="4"/>
  <c r="AV83" i="4"/>
  <c r="AV78" i="4"/>
  <c r="AQ52" i="4"/>
  <c r="AT117" i="4"/>
  <c r="AR42" i="4"/>
  <c r="AR106" i="4" s="1"/>
  <c r="AR38" i="4"/>
  <c r="AR102" i="4" s="1"/>
  <c r="AR41" i="4"/>
  <c r="AR105" i="4" s="1"/>
  <c r="AR44" i="4"/>
  <c r="AR108" i="4" s="1"/>
  <c r="AR35" i="4"/>
  <c r="AR99" i="4" s="1"/>
  <c r="AR29" i="4"/>
  <c r="AR69" i="4" s="1"/>
  <c r="AR25" i="4"/>
  <c r="AR65" i="4" s="1"/>
  <c r="AR21" i="4"/>
  <c r="AR61" i="4" s="1"/>
  <c r="AR17" i="4"/>
  <c r="AR57" i="4" s="1"/>
  <c r="AR37" i="4"/>
  <c r="AR101" i="4" s="1"/>
  <c r="AR32" i="4"/>
  <c r="AR72" i="4" s="1"/>
  <c r="AR31" i="4"/>
  <c r="AR71" i="4" s="1"/>
  <c r="AR27" i="4"/>
  <c r="AR67" i="4" s="1"/>
  <c r="AR23" i="4"/>
  <c r="AR63" i="4" s="1"/>
  <c r="AR19" i="4"/>
  <c r="AR59" i="4" s="1"/>
  <c r="AR15" i="4"/>
  <c r="AR55" i="4" s="1"/>
  <c r="AR43" i="4"/>
  <c r="AR107" i="4" s="1"/>
  <c r="AR36" i="4"/>
  <c r="AR100" i="4" s="1"/>
  <c r="AR26" i="4"/>
  <c r="AR66" i="4" s="1"/>
  <c r="AR18" i="4"/>
  <c r="AR58" i="4" s="1"/>
  <c r="AR16" i="4"/>
  <c r="AR56" i="4" s="1"/>
  <c r="AR20" i="4"/>
  <c r="AR60" i="4" s="1"/>
  <c r="AR40" i="4"/>
  <c r="AR104" i="4" s="1"/>
  <c r="AR39" i="4"/>
  <c r="AR103" i="4" s="1"/>
  <c r="AR24" i="4"/>
  <c r="AR64" i="4" s="1"/>
  <c r="AR13" i="4"/>
  <c r="AR53" i="4" s="1"/>
  <c r="AR30" i="4"/>
  <c r="AR70" i="4" s="1"/>
  <c r="AR22" i="4"/>
  <c r="AR62" i="4" s="1"/>
  <c r="AR14" i="4"/>
  <c r="AR54" i="4" s="1"/>
  <c r="AR28" i="4"/>
  <c r="AR68" i="4" s="1"/>
  <c r="AT113" i="4"/>
  <c r="AU75" i="4"/>
  <c r="AT112" i="4"/>
  <c r="AU86" i="4"/>
  <c r="AU88" i="4"/>
  <c r="AV76" i="4"/>
  <c r="AU94" i="4"/>
  <c r="AU79" i="4"/>
  <c r="AU82" i="4"/>
  <c r="AU80" i="4"/>
  <c r="AU89" i="4"/>
  <c r="AT119" i="4"/>
  <c r="AX59" i="3"/>
  <c r="AX43" i="3"/>
  <c r="AY42" i="3"/>
  <c r="AW44" i="3"/>
  <c r="AR23" i="3"/>
  <c r="AR52" i="3" s="1"/>
  <c r="AR21" i="3"/>
  <c r="AR50" i="3" s="1"/>
  <c r="AR20" i="3"/>
  <c r="AR49" i="3" s="1"/>
  <c r="AR22" i="3"/>
  <c r="AR51" i="3" s="1"/>
  <c r="AR24" i="3"/>
  <c r="AR53" i="3" s="1"/>
  <c r="AR16" i="3"/>
  <c r="AR36" i="3" s="1"/>
  <c r="AR15" i="3"/>
  <c r="AR35" i="3" s="1"/>
  <c r="AR17" i="3"/>
  <c r="AR37" i="3" s="1"/>
  <c r="AR14" i="3"/>
  <c r="AR34" i="3" s="1"/>
  <c r="AR13" i="3"/>
  <c r="AR33" i="3" s="1"/>
  <c r="AR5" i="4"/>
  <c r="AR5" i="6"/>
  <c r="AS3" i="6"/>
  <c r="AS3" i="4"/>
  <c r="AS41" i="3"/>
  <c r="AW60" i="3"/>
  <c r="AQ48" i="3"/>
  <c r="AW58" i="3"/>
  <c r="AQ32" i="3"/>
  <c r="AW57" i="3"/>
  <c r="AS56" i="3"/>
  <c r="AW40" i="3"/>
  <c r="AT3" i="1"/>
  <c r="AS3" i="3"/>
  <c r="AS5" i="1"/>
  <c r="AR5" i="3"/>
  <c r="AT3" i="12" l="1"/>
  <c r="AT4" i="1"/>
  <c r="AS3" i="11"/>
  <c r="AS5" i="12"/>
  <c r="AR5" i="11"/>
  <c r="AS4" i="12"/>
  <c r="AR4" i="11"/>
  <c r="AS4" i="6"/>
  <c r="AS4" i="4"/>
  <c r="AS4" i="3"/>
  <c r="AO11" i="11"/>
  <c r="AO13" i="11"/>
  <c r="AN10" i="11"/>
  <c r="AN17" i="11" s="1"/>
  <c r="AQ38" i="6"/>
  <c r="AQ48" i="4"/>
  <c r="AR68" i="6"/>
  <c r="AS33" i="6"/>
  <c r="AS77" i="6" s="1"/>
  <c r="AS29" i="6"/>
  <c r="AS73" i="6" s="1"/>
  <c r="AS32" i="6"/>
  <c r="AS76" i="6" s="1"/>
  <c r="AS31" i="6"/>
  <c r="AS75" i="6" s="1"/>
  <c r="AS26" i="6"/>
  <c r="AS70" i="6" s="1"/>
  <c r="AS25" i="6"/>
  <c r="AS69" i="6" s="1"/>
  <c r="AS34" i="6"/>
  <c r="AS78" i="6" s="1"/>
  <c r="AS22" i="6"/>
  <c r="AS52" i="6" s="1"/>
  <c r="AS30" i="6"/>
  <c r="AS74" i="6" s="1"/>
  <c r="AS19" i="6"/>
  <c r="AS49" i="6" s="1"/>
  <c r="AS15" i="6"/>
  <c r="AS45" i="6" s="1"/>
  <c r="AS18" i="6"/>
  <c r="AS48" i="6" s="1"/>
  <c r="AS28" i="6"/>
  <c r="AS72" i="6" s="1"/>
  <c r="AS17" i="6"/>
  <c r="AS47" i="6" s="1"/>
  <c r="AS21" i="6"/>
  <c r="AS51" i="6" s="1"/>
  <c r="AS16" i="6"/>
  <c r="AS46" i="6" s="1"/>
  <c r="AS13" i="6"/>
  <c r="AS43" i="6" s="1"/>
  <c r="AS14" i="6"/>
  <c r="AS44" i="6" s="1"/>
  <c r="AS27" i="6"/>
  <c r="AS71" i="6" s="1"/>
  <c r="AS20" i="6"/>
  <c r="AS50" i="6" s="1"/>
  <c r="AR42" i="6"/>
  <c r="AV81" i="6"/>
  <c r="AV61" i="6"/>
  <c r="AV59" i="6"/>
  <c r="AV88" i="6"/>
  <c r="AV56" i="6"/>
  <c r="AV58" i="6"/>
  <c r="AV62" i="6"/>
  <c r="AV64" i="6"/>
  <c r="AV82" i="6"/>
  <c r="AV87" i="6"/>
  <c r="AV84" i="6"/>
  <c r="AV57" i="6"/>
  <c r="AV89" i="6"/>
  <c r="AV85" i="6"/>
  <c r="AV55" i="6"/>
  <c r="AV86" i="6"/>
  <c r="AV90" i="6"/>
  <c r="AV63" i="6"/>
  <c r="AV60" i="6"/>
  <c r="AV83" i="6"/>
  <c r="AR98" i="4"/>
  <c r="AW83" i="4"/>
  <c r="AU118" i="4"/>
  <c r="AU114" i="4"/>
  <c r="AW91" i="4"/>
  <c r="AU116" i="4"/>
  <c r="AU111" i="4"/>
  <c r="AV77" i="4"/>
  <c r="AV90" i="4"/>
  <c r="AU119" i="4"/>
  <c r="AV80" i="4"/>
  <c r="AV79" i="4"/>
  <c r="AW76" i="4"/>
  <c r="AV86" i="4"/>
  <c r="AV75" i="4"/>
  <c r="AR52" i="4"/>
  <c r="AW78" i="4"/>
  <c r="AV87" i="4"/>
  <c r="AW84" i="4"/>
  <c r="AV81" i="4"/>
  <c r="AW85" i="4"/>
  <c r="AV92" i="4"/>
  <c r="AW93" i="4"/>
  <c r="AU120" i="4"/>
  <c r="AU115" i="4"/>
  <c r="AS41" i="4"/>
  <c r="AS105" i="4" s="1"/>
  <c r="AS44" i="4"/>
  <c r="AS108" i="4" s="1"/>
  <c r="AS43" i="4"/>
  <c r="AS107" i="4" s="1"/>
  <c r="AS40" i="4"/>
  <c r="AS104" i="4" s="1"/>
  <c r="AS39" i="4"/>
  <c r="AS103" i="4" s="1"/>
  <c r="AS38" i="4"/>
  <c r="AS102" i="4" s="1"/>
  <c r="AS28" i="4"/>
  <c r="AS68" i="4" s="1"/>
  <c r="AS24" i="4"/>
  <c r="AS64" i="4" s="1"/>
  <c r="AS20" i="4"/>
  <c r="AS60" i="4" s="1"/>
  <c r="AS16" i="4"/>
  <c r="AS56" i="4" s="1"/>
  <c r="AS36" i="4"/>
  <c r="AS100" i="4" s="1"/>
  <c r="AS30" i="4"/>
  <c r="AS70" i="4" s="1"/>
  <c r="AS26" i="4"/>
  <c r="AS66" i="4" s="1"/>
  <c r="AS22" i="4"/>
  <c r="AS62" i="4" s="1"/>
  <c r="AS18" i="4"/>
  <c r="AS58" i="4" s="1"/>
  <c r="AS29" i="4"/>
  <c r="AS69" i="4" s="1"/>
  <c r="AS21" i="4"/>
  <c r="AS61" i="4" s="1"/>
  <c r="AS42" i="4"/>
  <c r="AS106" i="4" s="1"/>
  <c r="AS37" i="4"/>
  <c r="AS101" i="4" s="1"/>
  <c r="AS32" i="4"/>
  <c r="AS72" i="4" s="1"/>
  <c r="AS27" i="4"/>
  <c r="AS67" i="4" s="1"/>
  <c r="AS19" i="4"/>
  <c r="AS59" i="4" s="1"/>
  <c r="AS15" i="4"/>
  <c r="AS55" i="4" s="1"/>
  <c r="AS14" i="4"/>
  <c r="AS54" i="4" s="1"/>
  <c r="AS35" i="4"/>
  <c r="AS99" i="4" s="1"/>
  <c r="AS25" i="4"/>
  <c r="AS65" i="4" s="1"/>
  <c r="AS17" i="4"/>
  <c r="AS57" i="4" s="1"/>
  <c r="AS13" i="4"/>
  <c r="AS53" i="4" s="1"/>
  <c r="AS31" i="4"/>
  <c r="AS71" i="4" s="1"/>
  <c r="AS23" i="4"/>
  <c r="AS63" i="4" s="1"/>
  <c r="AV89" i="4"/>
  <c r="AV82" i="4"/>
  <c r="AV94" i="4"/>
  <c r="AV88" i="4"/>
  <c r="AU112" i="4"/>
  <c r="AU113" i="4"/>
  <c r="AU117" i="4"/>
  <c r="AY43" i="3"/>
  <c r="AY59" i="3"/>
  <c r="AX44" i="3"/>
  <c r="AZ42" i="3"/>
  <c r="AS24" i="3"/>
  <c r="AS53" i="3" s="1"/>
  <c r="AS17" i="3"/>
  <c r="AS37" i="3" s="1"/>
  <c r="AS23" i="3"/>
  <c r="AS52" i="3" s="1"/>
  <c r="AS20" i="3"/>
  <c r="AS49" i="3" s="1"/>
  <c r="AS15" i="3"/>
  <c r="AS35" i="3" s="1"/>
  <c r="AS21" i="3"/>
  <c r="AS50" i="3" s="1"/>
  <c r="AS22" i="3"/>
  <c r="AS51" i="3" s="1"/>
  <c r="AS14" i="3"/>
  <c r="AS34" i="3" s="1"/>
  <c r="AS13" i="3"/>
  <c r="AS33" i="3" s="1"/>
  <c r="AS16" i="3"/>
  <c r="AS36" i="3" s="1"/>
  <c r="AT3" i="4"/>
  <c r="AT3" i="6"/>
  <c r="AS5" i="4"/>
  <c r="AS5" i="6"/>
  <c r="AQ28" i="3"/>
  <c r="AR32" i="3"/>
  <c r="AT56" i="3"/>
  <c r="AX58" i="3"/>
  <c r="AT41" i="3"/>
  <c r="AX40" i="3"/>
  <c r="AR48" i="3"/>
  <c r="AX57" i="3"/>
  <c r="AX60" i="3"/>
  <c r="AT5" i="1"/>
  <c r="AS5" i="3"/>
  <c r="AU3" i="1"/>
  <c r="AT3" i="3"/>
  <c r="AT4" i="12" l="1"/>
  <c r="AT4" i="3"/>
  <c r="AT4" i="6"/>
  <c r="AT4" i="4"/>
  <c r="AS4" i="11"/>
  <c r="AT5" i="12"/>
  <c r="AS5" i="11"/>
  <c r="AU3" i="12"/>
  <c r="AT3" i="11"/>
  <c r="AU4" i="1"/>
  <c r="AO10" i="11"/>
  <c r="AO17" i="11" s="1"/>
  <c r="AP11" i="11"/>
  <c r="AP13" i="11"/>
  <c r="AP12" i="11"/>
  <c r="AR38" i="6"/>
  <c r="AS68" i="6"/>
  <c r="AR48" i="4"/>
  <c r="AT32" i="6"/>
  <c r="AT76" i="6" s="1"/>
  <c r="AT28" i="6"/>
  <c r="AT72" i="6" s="1"/>
  <c r="AT31" i="6"/>
  <c r="AT75" i="6" s="1"/>
  <c r="AT34" i="6"/>
  <c r="AT78" i="6" s="1"/>
  <c r="AT30" i="6"/>
  <c r="AT74" i="6" s="1"/>
  <c r="AT29" i="6"/>
  <c r="AT73" i="6" s="1"/>
  <c r="AT25" i="6"/>
  <c r="AT69" i="6" s="1"/>
  <c r="AT27" i="6"/>
  <c r="AT71" i="6" s="1"/>
  <c r="AT26" i="6"/>
  <c r="AT70" i="6" s="1"/>
  <c r="AT18" i="6"/>
  <c r="AT48" i="6" s="1"/>
  <c r="AT17" i="6"/>
  <c r="AT47" i="6" s="1"/>
  <c r="AT33" i="6"/>
  <c r="AT77" i="6" s="1"/>
  <c r="AT22" i="6"/>
  <c r="AT52" i="6" s="1"/>
  <c r="AT21" i="6"/>
  <c r="AT51" i="6" s="1"/>
  <c r="AT20" i="6"/>
  <c r="AT50" i="6" s="1"/>
  <c r="AT16" i="6"/>
  <c r="AT46" i="6" s="1"/>
  <c r="AT19" i="6"/>
  <c r="AT49" i="6" s="1"/>
  <c r="AT15" i="6"/>
  <c r="AT45" i="6" s="1"/>
  <c r="AT14" i="6"/>
  <c r="AT44" i="6" s="1"/>
  <c r="AT13" i="6"/>
  <c r="AT43" i="6" s="1"/>
  <c r="AS42" i="6"/>
  <c r="AW83" i="6"/>
  <c r="AW86" i="6"/>
  <c r="AW57" i="6"/>
  <c r="AW87" i="6"/>
  <c r="AW64" i="6"/>
  <c r="AW58" i="6"/>
  <c r="AW61" i="6"/>
  <c r="AW63" i="6"/>
  <c r="AW85" i="6"/>
  <c r="AW88" i="6"/>
  <c r="AW60" i="6"/>
  <c r="AW90" i="6"/>
  <c r="AW55" i="6"/>
  <c r="AW89" i="6"/>
  <c r="AW84" i="6"/>
  <c r="AW82" i="6"/>
  <c r="AW62" i="6"/>
  <c r="AW56" i="6"/>
  <c r="AW59" i="6"/>
  <c r="AW81" i="6"/>
  <c r="AS98" i="4"/>
  <c r="AW75" i="4"/>
  <c r="AX76" i="4"/>
  <c r="AW80" i="4"/>
  <c r="AW90" i="4"/>
  <c r="AV111" i="4"/>
  <c r="AX91" i="4"/>
  <c r="AV118" i="4"/>
  <c r="AV117" i="4"/>
  <c r="AV112" i="4"/>
  <c r="AW94" i="4"/>
  <c r="AW89" i="4"/>
  <c r="AS52" i="4"/>
  <c r="AV115" i="4"/>
  <c r="AX93" i="4"/>
  <c r="AX85" i="4"/>
  <c r="AX84" i="4"/>
  <c r="AX78" i="4"/>
  <c r="AT44" i="4"/>
  <c r="AT108" i="4" s="1"/>
  <c r="AT40" i="4"/>
  <c r="AT104" i="4" s="1"/>
  <c r="AT43" i="4"/>
  <c r="AT107" i="4" s="1"/>
  <c r="AT42" i="4"/>
  <c r="AT106" i="4" s="1"/>
  <c r="AT37" i="4"/>
  <c r="AT101" i="4" s="1"/>
  <c r="AT32" i="4"/>
  <c r="AT72" i="4" s="1"/>
  <c r="AT31" i="4"/>
  <c r="AT71" i="4" s="1"/>
  <c r="AT27" i="4"/>
  <c r="AT67" i="4" s="1"/>
  <c r="AT23" i="4"/>
  <c r="AT63" i="4" s="1"/>
  <c r="AT19" i="4"/>
  <c r="AT59" i="4" s="1"/>
  <c r="AT35" i="4"/>
  <c r="AT99" i="4" s="1"/>
  <c r="AT29" i="4"/>
  <c r="AT69" i="4" s="1"/>
  <c r="AT25" i="4"/>
  <c r="AT65" i="4" s="1"/>
  <c r="AT21" i="4"/>
  <c r="AT61" i="4" s="1"/>
  <c r="AT17" i="4"/>
  <c r="AT57" i="4" s="1"/>
  <c r="AT39" i="4"/>
  <c r="AT103" i="4" s="1"/>
  <c r="AT38" i="4"/>
  <c r="AT102" i="4" s="1"/>
  <c r="AT24" i="4"/>
  <c r="AT64" i="4" s="1"/>
  <c r="AT16" i="4"/>
  <c r="AT56" i="4" s="1"/>
  <c r="AT15" i="4"/>
  <c r="AT55" i="4" s="1"/>
  <c r="AT14" i="4"/>
  <c r="AT54" i="4" s="1"/>
  <c r="AT22" i="4"/>
  <c r="AT62" i="4" s="1"/>
  <c r="AT13" i="4"/>
  <c r="AT53" i="4" s="1"/>
  <c r="AT30" i="4"/>
  <c r="AT70" i="4" s="1"/>
  <c r="AT18" i="4"/>
  <c r="AT58" i="4" s="1"/>
  <c r="AT41" i="4"/>
  <c r="AT105" i="4" s="1"/>
  <c r="AT28" i="4"/>
  <c r="AT68" i="4" s="1"/>
  <c r="AT20" i="4"/>
  <c r="AT60" i="4" s="1"/>
  <c r="AT36" i="4"/>
  <c r="AT100" i="4" s="1"/>
  <c r="AT26" i="4"/>
  <c r="AT66" i="4" s="1"/>
  <c r="AW86" i="4"/>
  <c r="AW79" i="4"/>
  <c r="AV119" i="4"/>
  <c r="AW77" i="4"/>
  <c r="AV116" i="4"/>
  <c r="AV114" i="4"/>
  <c r="AX83" i="4"/>
  <c r="AV113" i="4"/>
  <c r="AW88" i="4"/>
  <c r="AW82" i="4"/>
  <c r="AV120" i="4"/>
  <c r="AW92" i="4"/>
  <c r="AW81" i="4"/>
  <c r="AW87" i="4"/>
  <c r="AZ59" i="3"/>
  <c r="AZ43" i="3"/>
  <c r="BA42" i="3"/>
  <c r="AY44" i="3"/>
  <c r="AT23" i="3"/>
  <c r="AT52" i="3" s="1"/>
  <c r="AT16" i="3"/>
  <c r="AT36" i="3" s="1"/>
  <c r="AT24" i="3"/>
  <c r="AT53" i="3" s="1"/>
  <c r="AT15" i="3"/>
  <c r="AT35" i="3" s="1"/>
  <c r="AT22" i="3"/>
  <c r="AT51" i="3" s="1"/>
  <c r="AT21" i="3"/>
  <c r="AT50" i="3" s="1"/>
  <c r="AT20" i="3"/>
  <c r="AT49" i="3" s="1"/>
  <c r="AT17" i="3"/>
  <c r="AT37" i="3" s="1"/>
  <c r="AT14" i="3"/>
  <c r="AT34" i="3" s="1"/>
  <c r="AT13" i="3"/>
  <c r="AT33" i="3" s="1"/>
  <c r="AT5" i="4"/>
  <c r="AT5" i="6"/>
  <c r="AU3" i="6"/>
  <c r="AU3" i="4"/>
  <c r="AR28" i="3"/>
  <c r="AS32" i="3"/>
  <c r="AS48" i="3"/>
  <c r="AY40" i="3"/>
  <c r="AY57" i="3"/>
  <c r="AY58" i="3"/>
  <c r="AY60" i="3"/>
  <c r="AU41" i="3"/>
  <c r="AU56" i="3"/>
  <c r="AV3" i="1"/>
  <c r="AU3" i="3"/>
  <c r="AU5" i="1"/>
  <c r="AT5" i="3"/>
  <c r="AS48" i="4" l="1"/>
  <c r="AR12" i="11" s="1"/>
  <c r="AV3" i="12"/>
  <c r="AV4" i="1"/>
  <c r="AU3" i="11"/>
  <c r="AU5" i="12"/>
  <c r="AT5" i="11"/>
  <c r="AU4" i="12"/>
  <c r="AT4" i="11"/>
  <c r="AU4" i="6"/>
  <c r="AU4" i="4"/>
  <c r="AU4" i="3"/>
  <c r="AP10" i="11"/>
  <c r="AP17" i="11" s="1"/>
  <c r="AQ11" i="11"/>
  <c r="AQ13" i="11"/>
  <c r="AQ12" i="11"/>
  <c r="AS38" i="6"/>
  <c r="AT42" i="6"/>
  <c r="AT68" i="6"/>
  <c r="AU31" i="6"/>
  <c r="AU75" i="6" s="1"/>
  <c r="AU34" i="6"/>
  <c r="AU78" i="6" s="1"/>
  <c r="AU30" i="6"/>
  <c r="AU74" i="6" s="1"/>
  <c r="AU33" i="6"/>
  <c r="AU77" i="6" s="1"/>
  <c r="AU29" i="6"/>
  <c r="AU73" i="6" s="1"/>
  <c r="AU32" i="6"/>
  <c r="AU76" i="6" s="1"/>
  <c r="AU22" i="6"/>
  <c r="AU52" i="6" s="1"/>
  <c r="AU27" i="6"/>
  <c r="AU71" i="6" s="1"/>
  <c r="AU28" i="6"/>
  <c r="AU72" i="6" s="1"/>
  <c r="AU26" i="6"/>
  <c r="AU70" i="6" s="1"/>
  <c r="AU17" i="6"/>
  <c r="AU47" i="6" s="1"/>
  <c r="AU25" i="6"/>
  <c r="AU69" i="6" s="1"/>
  <c r="AU21" i="6"/>
  <c r="AU51" i="6" s="1"/>
  <c r="AU20" i="6"/>
  <c r="AU50" i="6" s="1"/>
  <c r="AU19" i="6"/>
  <c r="AU49" i="6" s="1"/>
  <c r="AU16" i="6"/>
  <c r="AU46" i="6" s="1"/>
  <c r="AU15" i="6"/>
  <c r="AU45" i="6" s="1"/>
  <c r="AU14" i="6"/>
  <c r="AU44" i="6" s="1"/>
  <c r="AU13" i="6"/>
  <c r="AU43" i="6" s="1"/>
  <c r="AU18" i="6"/>
  <c r="AU48" i="6" s="1"/>
  <c r="AX81" i="6"/>
  <c r="AX82" i="6"/>
  <c r="AX90" i="6"/>
  <c r="AX63" i="6"/>
  <c r="AX58" i="6"/>
  <c r="AX87" i="6"/>
  <c r="AX56" i="6"/>
  <c r="AX89" i="6"/>
  <c r="AX88" i="6"/>
  <c r="AX86" i="6"/>
  <c r="AX59" i="6"/>
  <c r="AX62" i="6"/>
  <c r="AX84" i="6"/>
  <c r="AX55" i="6"/>
  <c r="AX60" i="6"/>
  <c r="AX85" i="6"/>
  <c r="AX61" i="6"/>
  <c r="AX64" i="6"/>
  <c r="AX57" i="6"/>
  <c r="AX83" i="6"/>
  <c r="AT98" i="4"/>
  <c r="AT52" i="4"/>
  <c r="AY91" i="4"/>
  <c r="AX82" i="4"/>
  <c r="AX79" i="4"/>
  <c r="AY84" i="4"/>
  <c r="AY93" i="4"/>
  <c r="AW117" i="4"/>
  <c r="AX90" i="4"/>
  <c r="AU43" i="4"/>
  <c r="AU107" i="4" s="1"/>
  <c r="AU39" i="4"/>
  <c r="AU103" i="4" s="1"/>
  <c r="AU42" i="4"/>
  <c r="AU106" i="4" s="1"/>
  <c r="AU36" i="4"/>
  <c r="AU100" i="4" s="1"/>
  <c r="AU30" i="4"/>
  <c r="AU70" i="4" s="1"/>
  <c r="AU26" i="4"/>
  <c r="AU66" i="4" s="1"/>
  <c r="AU22" i="4"/>
  <c r="AU62" i="4" s="1"/>
  <c r="AU18" i="4"/>
  <c r="AU58" i="4" s="1"/>
  <c r="AU41" i="4"/>
  <c r="AU105" i="4" s="1"/>
  <c r="AU38" i="4"/>
  <c r="AU102" i="4" s="1"/>
  <c r="AU28" i="4"/>
  <c r="AU68" i="4" s="1"/>
  <c r="AU24" i="4"/>
  <c r="AU64" i="4" s="1"/>
  <c r="AU20" i="4"/>
  <c r="AU60" i="4" s="1"/>
  <c r="AU16" i="4"/>
  <c r="AU56" i="4" s="1"/>
  <c r="AU40" i="4"/>
  <c r="AU104" i="4" s="1"/>
  <c r="AU37" i="4"/>
  <c r="AU101" i="4" s="1"/>
  <c r="AU32" i="4"/>
  <c r="AU72" i="4" s="1"/>
  <c r="AU27" i="4"/>
  <c r="AU67" i="4" s="1"/>
  <c r="AU19" i="4"/>
  <c r="AU59" i="4" s="1"/>
  <c r="AU13" i="4"/>
  <c r="AU53" i="4" s="1"/>
  <c r="AU17" i="4"/>
  <c r="AU57" i="4" s="1"/>
  <c r="AU44" i="4"/>
  <c r="AU108" i="4" s="1"/>
  <c r="AU35" i="4"/>
  <c r="AU99" i="4" s="1"/>
  <c r="AU25" i="4"/>
  <c r="AU65" i="4" s="1"/>
  <c r="AU14" i="4"/>
  <c r="AU54" i="4" s="1"/>
  <c r="AU31" i="4"/>
  <c r="AU71" i="4" s="1"/>
  <c r="AU23" i="4"/>
  <c r="AU63" i="4" s="1"/>
  <c r="AU29" i="4"/>
  <c r="AU69" i="4" s="1"/>
  <c r="AU21" i="4"/>
  <c r="AU61" i="4" s="1"/>
  <c r="AU15" i="4"/>
  <c r="AU55" i="4" s="1"/>
  <c r="AX92" i="4"/>
  <c r="AW114" i="4"/>
  <c r="AX89" i="4"/>
  <c r="AW112" i="4"/>
  <c r="AW118" i="4"/>
  <c r="AW111" i="4"/>
  <c r="AX80" i="4"/>
  <c r="AX75" i="4"/>
  <c r="AX94" i="4"/>
  <c r="AY76" i="4"/>
  <c r="AX87" i="4"/>
  <c r="AW113" i="4"/>
  <c r="AX77" i="4"/>
  <c r="AX81" i="4"/>
  <c r="AW120" i="4"/>
  <c r="AX88" i="4"/>
  <c r="AY83" i="4"/>
  <c r="AW116" i="4"/>
  <c r="AW119" i="4"/>
  <c r="AX86" i="4"/>
  <c r="AY78" i="4"/>
  <c r="AY85" i="4"/>
  <c r="AW115" i="4"/>
  <c r="BA43" i="3"/>
  <c r="BA59" i="3"/>
  <c r="AZ44" i="3"/>
  <c r="BB42" i="3"/>
  <c r="AT32" i="3"/>
  <c r="AU24" i="3"/>
  <c r="AU53" i="3" s="1"/>
  <c r="AU22" i="3"/>
  <c r="AU51" i="3" s="1"/>
  <c r="AU20" i="3"/>
  <c r="AU49" i="3" s="1"/>
  <c r="AU17" i="3"/>
  <c r="AU37" i="3" s="1"/>
  <c r="AU16" i="3"/>
  <c r="AU36" i="3" s="1"/>
  <c r="AU14" i="3"/>
  <c r="AU34" i="3" s="1"/>
  <c r="AU13" i="3"/>
  <c r="AU33" i="3" s="1"/>
  <c r="AU21" i="3"/>
  <c r="AU50" i="3" s="1"/>
  <c r="AU15" i="3"/>
  <c r="AU35" i="3" s="1"/>
  <c r="AU23" i="3"/>
  <c r="AU52" i="3" s="1"/>
  <c r="AV3" i="6"/>
  <c r="AV3" i="4"/>
  <c r="AU5" i="6"/>
  <c r="AU5" i="4"/>
  <c r="AS28" i="3"/>
  <c r="AT48" i="3"/>
  <c r="AZ58" i="3"/>
  <c r="AV41" i="3"/>
  <c r="AV56" i="3"/>
  <c r="AZ60" i="3"/>
  <c r="AZ57" i="3"/>
  <c r="AZ40" i="3"/>
  <c r="AV5" i="1"/>
  <c r="AU5" i="3"/>
  <c r="AW3" i="1"/>
  <c r="AV3" i="3"/>
  <c r="AV5" i="12" l="1"/>
  <c r="AU5" i="11"/>
  <c r="AW3" i="12"/>
  <c r="AW4" i="1"/>
  <c r="AV3" i="11"/>
  <c r="AV4" i="12"/>
  <c r="AU4" i="11"/>
  <c r="AV4" i="6"/>
  <c r="AV4" i="4"/>
  <c r="AV4" i="3"/>
  <c r="AQ10" i="11"/>
  <c r="AQ17" i="11" s="1"/>
  <c r="AR11" i="11"/>
  <c r="AR13" i="11"/>
  <c r="AT48" i="4"/>
  <c r="AT28" i="3"/>
  <c r="AT38" i="6"/>
  <c r="AU42" i="6"/>
  <c r="AV34" i="6"/>
  <c r="AV78" i="6" s="1"/>
  <c r="AV30" i="6"/>
  <c r="AV74" i="6" s="1"/>
  <c r="AV33" i="6"/>
  <c r="AV77" i="6" s="1"/>
  <c r="AV29" i="6"/>
  <c r="AV73" i="6" s="1"/>
  <c r="AV32" i="6"/>
  <c r="AV76" i="6" s="1"/>
  <c r="AV27" i="6"/>
  <c r="AV71" i="6" s="1"/>
  <c r="AV21" i="6"/>
  <c r="AV51" i="6" s="1"/>
  <c r="AV31" i="6"/>
  <c r="AV75" i="6" s="1"/>
  <c r="AV28" i="6"/>
  <c r="AV72" i="6" s="1"/>
  <c r="AV26" i="6"/>
  <c r="AV70" i="6" s="1"/>
  <c r="AV25" i="6"/>
  <c r="AV69" i="6" s="1"/>
  <c r="AV20" i="6"/>
  <c r="AV50" i="6" s="1"/>
  <c r="AV16" i="6"/>
  <c r="AV46" i="6" s="1"/>
  <c r="AV22" i="6"/>
  <c r="AV52" i="6" s="1"/>
  <c r="AV19" i="6"/>
  <c r="AV49" i="6" s="1"/>
  <c r="AV18" i="6"/>
  <c r="AV48" i="6" s="1"/>
  <c r="AV13" i="6"/>
  <c r="AV43" i="6" s="1"/>
  <c r="AV15" i="6"/>
  <c r="AV45" i="6" s="1"/>
  <c r="AV14" i="6"/>
  <c r="AV44" i="6" s="1"/>
  <c r="AV17" i="6"/>
  <c r="AV47" i="6" s="1"/>
  <c r="AU68" i="6"/>
  <c r="AY64" i="6"/>
  <c r="AY62" i="6"/>
  <c r="AY89" i="6"/>
  <c r="AY87" i="6"/>
  <c r="AY63" i="6"/>
  <c r="AY83" i="6"/>
  <c r="AY85" i="6"/>
  <c r="AY55" i="6"/>
  <c r="AY86" i="6"/>
  <c r="AY82" i="6"/>
  <c r="AY57" i="6"/>
  <c r="AY61" i="6"/>
  <c r="AY60" i="6"/>
  <c r="AY84" i="6"/>
  <c r="AY59" i="6"/>
  <c r="AY88" i="6"/>
  <c r="AY56" i="6"/>
  <c r="AY58" i="6"/>
  <c r="AY90" i="6"/>
  <c r="AY81" i="6"/>
  <c r="AU98" i="4"/>
  <c r="AX116" i="4"/>
  <c r="AZ76" i="4"/>
  <c r="AX112" i="4"/>
  <c r="AX117" i="4"/>
  <c r="AZ84" i="4"/>
  <c r="AY82" i="4"/>
  <c r="AY81" i="4"/>
  <c r="AX114" i="4"/>
  <c r="AZ85" i="4"/>
  <c r="AY88" i="4"/>
  <c r="AX111" i="4"/>
  <c r="AZ78" i="4"/>
  <c r="AX119" i="4"/>
  <c r="AZ83" i="4"/>
  <c r="AX120" i="4"/>
  <c r="AY77" i="4"/>
  <c r="AY87" i="4"/>
  <c r="AY94" i="4"/>
  <c r="AY80" i="4"/>
  <c r="AX118" i="4"/>
  <c r="AY89" i="4"/>
  <c r="AY92" i="4"/>
  <c r="AU52" i="4"/>
  <c r="AY90" i="4"/>
  <c r="AZ93" i="4"/>
  <c r="AY79" i="4"/>
  <c r="AZ91" i="4"/>
  <c r="AY86" i="4"/>
  <c r="AX113" i="4"/>
  <c r="AY75" i="4"/>
  <c r="AX115" i="4"/>
  <c r="AV42" i="4"/>
  <c r="AV106" i="4" s="1"/>
  <c r="AV38" i="4"/>
  <c r="AV102" i="4" s="1"/>
  <c r="AV41" i="4"/>
  <c r="AV105" i="4" s="1"/>
  <c r="AV44" i="4"/>
  <c r="AV108" i="4" s="1"/>
  <c r="AV35" i="4"/>
  <c r="AV99" i="4" s="1"/>
  <c r="AV29" i="4"/>
  <c r="AV69" i="4" s="1"/>
  <c r="AV25" i="4"/>
  <c r="AV65" i="4" s="1"/>
  <c r="AV21" i="4"/>
  <c r="AV61" i="4" s="1"/>
  <c r="AV17" i="4"/>
  <c r="AV57" i="4" s="1"/>
  <c r="AV43" i="4"/>
  <c r="AV107" i="4" s="1"/>
  <c r="AV40" i="4"/>
  <c r="AV104" i="4" s="1"/>
  <c r="AV39" i="4"/>
  <c r="AV103" i="4" s="1"/>
  <c r="AV37" i="4"/>
  <c r="AV101" i="4" s="1"/>
  <c r="AV32" i="4"/>
  <c r="AV72" i="4" s="1"/>
  <c r="AV31" i="4"/>
  <c r="AV71" i="4" s="1"/>
  <c r="AV27" i="4"/>
  <c r="AV67" i="4" s="1"/>
  <c r="AV23" i="4"/>
  <c r="AV63" i="4" s="1"/>
  <c r="AV19" i="4"/>
  <c r="AV59" i="4" s="1"/>
  <c r="AV15" i="4"/>
  <c r="AV55" i="4" s="1"/>
  <c r="AV30" i="4"/>
  <c r="AV70" i="4" s="1"/>
  <c r="AV22" i="4"/>
  <c r="AV62" i="4" s="1"/>
  <c r="AV28" i="4"/>
  <c r="AV68" i="4" s="1"/>
  <c r="AV20" i="4"/>
  <c r="AV60" i="4" s="1"/>
  <c r="AV36" i="4"/>
  <c r="AV100" i="4" s="1"/>
  <c r="AV26" i="4"/>
  <c r="AV66" i="4" s="1"/>
  <c r="AV18" i="4"/>
  <c r="AV58" i="4" s="1"/>
  <c r="AV14" i="4"/>
  <c r="AV54" i="4" s="1"/>
  <c r="AV24" i="4"/>
  <c r="AV64" i="4" s="1"/>
  <c r="AV16" i="4"/>
  <c r="AV56" i="4" s="1"/>
  <c r="AV13" i="4"/>
  <c r="AV53" i="4" s="1"/>
  <c r="BB59" i="3"/>
  <c r="BB43" i="3"/>
  <c r="BC42" i="3"/>
  <c r="BA44" i="3"/>
  <c r="AV23" i="3"/>
  <c r="AV52" i="3" s="1"/>
  <c r="AV21" i="3"/>
  <c r="AV50" i="3" s="1"/>
  <c r="AV20" i="3"/>
  <c r="AV49" i="3" s="1"/>
  <c r="AV24" i="3"/>
  <c r="AV53" i="3" s="1"/>
  <c r="AV17" i="3"/>
  <c r="AV37" i="3" s="1"/>
  <c r="AV15" i="3"/>
  <c r="AV35" i="3" s="1"/>
  <c r="AV14" i="3"/>
  <c r="AV34" i="3" s="1"/>
  <c r="AV16" i="3"/>
  <c r="AV36" i="3" s="1"/>
  <c r="AV22" i="3"/>
  <c r="AV51" i="3" s="1"/>
  <c r="AV13" i="3"/>
  <c r="AV33" i="3" s="1"/>
  <c r="AV5" i="6"/>
  <c r="AV5" i="4"/>
  <c r="AW3" i="4"/>
  <c r="AW3" i="6"/>
  <c r="AU48" i="3"/>
  <c r="AU32" i="3"/>
  <c r="BA57" i="3"/>
  <c r="BA58" i="3"/>
  <c r="BA40" i="3"/>
  <c r="BA60" i="3"/>
  <c r="AW56" i="3"/>
  <c r="AW41" i="3"/>
  <c r="AX3" i="1"/>
  <c r="AW3" i="3"/>
  <c r="AW5" i="1"/>
  <c r="AV5" i="3"/>
  <c r="AW5" i="12" l="1"/>
  <c r="AV5" i="11"/>
  <c r="AW4" i="12"/>
  <c r="AV4" i="11"/>
  <c r="AW4" i="6"/>
  <c r="AW4" i="4"/>
  <c r="AW4" i="3"/>
  <c r="AX3" i="12"/>
  <c r="AX4" i="1"/>
  <c r="AW3" i="11"/>
  <c r="AR10" i="11"/>
  <c r="AR17" i="11" s="1"/>
  <c r="AS12" i="11"/>
  <c r="AS13" i="11"/>
  <c r="AS11" i="11"/>
  <c r="AU48" i="4"/>
  <c r="AU38" i="6"/>
  <c r="AV68" i="6"/>
  <c r="AW33" i="6"/>
  <c r="AW77" i="6" s="1"/>
  <c r="AW29" i="6"/>
  <c r="AW73" i="6" s="1"/>
  <c r="AW32" i="6"/>
  <c r="AW76" i="6" s="1"/>
  <c r="AW31" i="6"/>
  <c r="AW75" i="6" s="1"/>
  <c r="AW28" i="6"/>
  <c r="AW72" i="6" s="1"/>
  <c r="AW26" i="6"/>
  <c r="AW70" i="6" s="1"/>
  <c r="AW34" i="6"/>
  <c r="AW78" i="6" s="1"/>
  <c r="AW25" i="6"/>
  <c r="AW69" i="6" s="1"/>
  <c r="AW30" i="6"/>
  <c r="AW74" i="6" s="1"/>
  <c r="AW22" i="6"/>
  <c r="AW52" i="6" s="1"/>
  <c r="AW21" i="6"/>
  <c r="AW51" i="6" s="1"/>
  <c r="AW19" i="6"/>
  <c r="AW49" i="6" s="1"/>
  <c r="AW15" i="6"/>
  <c r="AW45" i="6" s="1"/>
  <c r="AW18" i="6"/>
  <c r="AW48" i="6" s="1"/>
  <c r="AW27" i="6"/>
  <c r="AW71" i="6" s="1"/>
  <c r="AW17" i="6"/>
  <c r="AW47" i="6" s="1"/>
  <c r="AW13" i="6"/>
  <c r="AW43" i="6" s="1"/>
  <c r="AW20" i="6"/>
  <c r="AW50" i="6" s="1"/>
  <c r="AW14" i="6"/>
  <c r="AW44" i="6" s="1"/>
  <c r="AW16" i="6"/>
  <c r="AW46" i="6" s="1"/>
  <c r="AV42" i="6"/>
  <c r="AZ81" i="6"/>
  <c r="AZ88" i="6"/>
  <c r="AZ61" i="6"/>
  <c r="AZ55" i="6"/>
  <c r="AZ83" i="6"/>
  <c r="AZ87" i="6"/>
  <c r="AZ58" i="6"/>
  <c r="AZ84" i="6"/>
  <c r="AZ82" i="6"/>
  <c r="AZ62" i="6"/>
  <c r="AZ90" i="6"/>
  <c r="AZ56" i="6"/>
  <c r="AZ59" i="6"/>
  <c r="AZ60" i="6"/>
  <c r="AZ57" i="6"/>
  <c r="AZ86" i="6"/>
  <c r="AZ85" i="6"/>
  <c r="AZ63" i="6"/>
  <c r="AZ89" i="6"/>
  <c r="AZ64" i="6"/>
  <c r="AV98" i="4"/>
  <c r="AZ92" i="4"/>
  <c r="AY118" i="4"/>
  <c r="AZ94" i="4"/>
  <c r="AZ77" i="4"/>
  <c r="BA83" i="4"/>
  <c r="BA78" i="4"/>
  <c r="AZ88" i="4"/>
  <c r="AY114" i="4"/>
  <c r="AZ82" i="4"/>
  <c r="AY117" i="4"/>
  <c r="BA76" i="4"/>
  <c r="AV52" i="4"/>
  <c r="AZ75" i="4"/>
  <c r="AZ86" i="4"/>
  <c r="AZ79" i="4"/>
  <c r="AZ90" i="4"/>
  <c r="AZ89" i="4"/>
  <c r="AZ80" i="4"/>
  <c r="AZ87" i="4"/>
  <c r="AY120" i="4"/>
  <c r="AY119" i="4"/>
  <c r="AY111" i="4"/>
  <c r="BA85" i="4"/>
  <c r="AZ81" i="4"/>
  <c r="BA84" i="4"/>
  <c r="AY112" i="4"/>
  <c r="AY116" i="4"/>
  <c r="AW41" i="4"/>
  <c r="AW105" i="4" s="1"/>
  <c r="AW44" i="4"/>
  <c r="AW108" i="4" s="1"/>
  <c r="AW43" i="4"/>
  <c r="AW107" i="4" s="1"/>
  <c r="AW28" i="4"/>
  <c r="AW68" i="4" s="1"/>
  <c r="AW24" i="4"/>
  <c r="AW64" i="4" s="1"/>
  <c r="AW20" i="4"/>
  <c r="AW60" i="4" s="1"/>
  <c r="AW16" i="4"/>
  <c r="AW56" i="4" s="1"/>
  <c r="AW36" i="4"/>
  <c r="AW100" i="4" s="1"/>
  <c r="AW30" i="4"/>
  <c r="AW70" i="4" s="1"/>
  <c r="AW26" i="4"/>
  <c r="AW66" i="4" s="1"/>
  <c r="AW22" i="4"/>
  <c r="AW62" i="4" s="1"/>
  <c r="AW18" i="4"/>
  <c r="AW58" i="4" s="1"/>
  <c r="AW42" i="4"/>
  <c r="AW106" i="4" s="1"/>
  <c r="AW35" i="4"/>
  <c r="AW99" i="4" s="1"/>
  <c r="AW25" i="4"/>
  <c r="AW65" i="4" s="1"/>
  <c r="AW17" i="4"/>
  <c r="AW57" i="4" s="1"/>
  <c r="AW14" i="4"/>
  <c r="AW54" i="4" s="1"/>
  <c r="AW31" i="4"/>
  <c r="AW71" i="4" s="1"/>
  <c r="AW23" i="4"/>
  <c r="AW63" i="4" s="1"/>
  <c r="AW29" i="4"/>
  <c r="AW69" i="4" s="1"/>
  <c r="AW21" i="4"/>
  <c r="AW61" i="4" s="1"/>
  <c r="AW15" i="4"/>
  <c r="AW55" i="4" s="1"/>
  <c r="AW13" i="4"/>
  <c r="AW53" i="4" s="1"/>
  <c r="AW40" i="4"/>
  <c r="AW104" i="4" s="1"/>
  <c r="AW39" i="4"/>
  <c r="AW103" i="4" s="1"/>
  <c r="AW38" i="4"/>
  <c r="AW102" i="4" s="1"/>
  <c r="AW37" i="4"/>
  <c r="AW101" i="4" s="1"/>
  <c r="AW32" i="4"/>
  <c r="AW72" i="4" s="1"/>
  <c r="AW27" i="4"/>
  <c r="AW67" i="4" s="1"/>
  <c r="AW19" i="4"/>
  <c r="AW59" i="4" s="1"/>
  <c r="AY115" i="4"/>
  <c r="AY113" i="4"/>
  <c r="BA91" i="4"/>
  <c r="BA93" i="4"/>
  <c r="BC43" i="3"/>
  <c r="BC59" i="3"/>
  <c r="BB44" i="3"/>
  <c r="BD42" i="3"/>
  <c r="AW24" i="3"/>
  <c r="AW53" i="3" s="1"/>
  <c r="AW17" i="3"/>
  <c r="AW37" i="3" s="1"/>
  <c r="AW22" i="3"/>
  <c r="AW51" i="3" s="1"/>
  <c r="AW21" i="3"/>
  <c r="AW50" i="3" s="1"/>
  <c r="AW20" i="3"/>
  <c r="AW49" i="3" s="1"/>
  <c r="AW13" i="3"/>
  <c r="AW33" i="3" s="1"/>
  <c r="AW14" i="3"/>
  <c r="AW34" i="3" s="1"/>
  <c r="AW16" i="3"/>
  <c r="AW36" i="3" s="1"/>
  <c r="AW23" i="3"/>
  <c r="AW52" i="3" s="1"/>
  <c r="AW15" i="3"/>
  <c r="AW35" i="3" s="1"/>
  <c r="AX3" i="4"/>
  <c r="AX3" i="6"/>
  <c r="AW5" i="4"/>
  <c r="AW5" i="6"/>
  <c r="AU28" i="3"/>
  <c r="AV32" i="3"/>
  <c r="AV48" i="3"/>
  <c r="AX41" i="3"/>
  <c r="BB60" i="3"/>
  <c r="BB58" i="3"/>
  <c r="BB57" i="3"/>
  <c r="AX56" i="3"/>
  <c r="BB40" i="3"/>
  <c r="AX5" i="1"/>
  <c r="AW5" i="3"/>
  <c r="AY3" i="1"/>
  <c r="AX3" i="3"/>
  <c r="AV48" i="4" l="1"/>
  <c r="AU12" i="11" s="1"/>
  <c r="AX5" i="12"/>
  <c r="AW5" i="11"/>
  <c r="AY3" i="12"/>
  <c r="AY4" i="1"/>
  <c r="AX3" i="11"/>
  <c r="AX4" i="12"/>
  <c r="AX4" i="3"/>
  <c r="AX4" i="4"/>
  <c r="AW4" i="11"/>
  <c r="AX4" i="6"/>
  <c r="AS10" i="11"/>
  <c r="AS17" i="11" s="1"/>
  <c r="AT13" i="11"/>
  <c r="AT11" i="11"/>
  <c r="AT12" i="11"/>
  <c r="AV38" i="6"/>
  <c r="AW68" i="6"/>
  <c r="AX32" i="6"/>
  <c r="AX76" i="6" s="1"/>
  <c r="AX28" i="6"/>
  <c r="AX72" i="6" s="1"/>
  <c r="AX31" i="6"/>
  <c r="AX75" i="6" s="1"/>
  <c r="AX34" i="6"/>
  <c r="AX78" i="6" s="1"/>
  <c r="AX30" i="6"/>
  <c r="AX74" i="6" s="1"/>
  <c r="AX25" i="6"/>
  <c r="AX69" i="6" s="1"/>
  <c r="AX33" i="6"/>
  <c r="AX77" i="6" s="1"/>
  <c r="AX27" i="6"/>
  <c r="AX71" i="6" s="1"/>
  <c r="AX22" i="6"/>
  <c r="AX52" i="6" s="1"/>
  <c r="AX18" i="6"/>
  <c r="AX48" i="6" s="1"/>
  <c r="AX17" i="6"/>
  <c r="AX47" i="6" s="1"/>
  <c r="AX20" i="6"/>
  <c r="AX50" i="6" s="1"/>
  <c r="AX16" i="6"/>
  <c r="AX46" i="6" s="1"/>
  <c r="AX19" i="6"/>
  <c r="AX49" i="6" s="1"/>
  <c r="AX14" i="6"/>
  <c r="AX44" i="6" s="1"/>
  <c r="AX29" i="6"/>
  <c r="AX73" i="6" s="1"/>
  <c r="AX26" i="6"/>
  <c r="AX70" i="6" s="1"/>
  <c r="AX21" i="6"/>
  <c r="AX51" i="6" s="1"/>
  <c r="AX15" i="6"/>
  <c r="AX45" i="6" s="1"/>
  <c r="AX13" i="6"/>
  <c r="AX43" i="6" s="1"/>
  <c r="AW42" i="6"/>
  <c r="BA64" i="6"/>
  <c r="BA63" i="6"/>
  <c r="BA60" i="6"/>
  <c r="BA84" i="6"/>
  <c r="BA87" i="6"/>
  <c r="BA88" i="6"/>
  <c r="BA86" i="6"/>
  <c r="BA56" i="6"/>
  <c r="BA62" i="6"/>
  <c r="BA55" i="6"/>
  <c r="BA89" i="6"/>
  <c r="BA85" i="6"/>
  <c r="BA57" i="6"/>
  <c r="BA59" i="6"/>
  <c r="BA90" i="6"/>
  <c r="BA82" i="6"/>
  <c r="BA58" i="6"/>
  <c r="BA83" i="6"/>
  <c r="BA61" i="6"/>
  <c r="BA81" i="6"/>
  <c r="AW98" i="4"/>
  <c r="BB78" i="4"/>
  <c r="BB93" i="4"/>
  <c r="AZ112" i="4"/>
  <c r="BA81" i="4"/>
  <c r="AZ111" i="4"/>
  <c r="AZ120" i="4"/>
  <c r="BA80" i="4"/>
  <c r="BA90" i="4"/>
  <c r="BA86" i="4"/>
  <c r="AW52" i="4"/>
  <c r="AZ117" i="4"/>
  <c r="AZ118" i="4"/>
  <c r="AX44" i="4"/>
  <c r="AX108" i="4" s="1"/>
  <c r="AX40" i="4"/>
  <c r="AX104" i="4" s="1"/>
  <c r="AX43" i="4"/>
  <c r="AX107" i="4" s="1"/>
  <c r="AX39" i="4"/>
  <c r="AX103" i="4" s="1"/>
  <c r="AX38" i="4"/>
  <c r="AX102" i="4" s="1"/>
  <c r="AX37" i="4"/>
  <c r="AX101" i="4" s="1"/>
  <c r="AX32" i="4"/>
  <c r="AX72" i="4" s="1"/>
  <c r="AX31" i="4"/>
  <c r="AX71" i="4" s="1"/>
  <c r="AX27" i="4"/>
  <c r="AX67" i="4" s="1"/>
  <c r="AX23" i="4"/>
  <c r="AX63" i="4" s="1"/>
  <c r="AX19" i="4"/>
  <c r="AX59" i="4" s="1"/>
  <c r="AX42" i="4"/>
  <c r="AX106" i="4" s="1"/>
  <c r="AX35" i="4"/>
  <c r="AX99" i="4" s="1"/>
  <c r="AX29" i="4"/>
  <c r="AX69" i="4" s="1"/>
  <c r="AX25" i="4"/>
  <c r="AX65" i="4" s="1"/>
  <c r="AX21" i="4"/>
  <c r="AX61" i="4" s="1"/>
  <c r="AX17" i="4"/>
  <c r="AX57" i="4" s="1"/>
  <c r="AX28" i="4"/>
  <c r="AX68" i="4" s="1"/>
  <c r="AX20" i="4"/>
  <c r="AX60" i="4" s="1"/>
  <c r="AX14" i="4"/>
  <c r="AX54" i="4" s="1"/>
  <c r="AX13" i="4"/>
  <c r="AX53" i="4" s="1"/>
  <c r="AX41" i="4"/>
  <c r="AX105" i="4" s="1"/>
  <c r="AX36" i="4"/>
  <c r="AX100" i="4" s="1"/>
  <c r="AX26" i="4"/>
  <c r="AX66" i="4" s="1"/>
  <c r="AX18" i="4"/>
  <c r="AX58" i="4" s="1"/>
  <c r="AX15" i="4"/>
  <c r="AX55" i="4" s="1"/>
  <c r="AX24" i="4"/>
  <c r="AX64" i="4" s="1"/>
  <c r="AX16" i="4"/>
  <c r="AX56" i="4" s="1"/>
  <c r="AX30" i="4"/>
  <c r="AX70" i="4" s="1"/>
  <c r="AX22" i="4"/>
  <c r="AX62" i="4" s="1"/>
  <c r="AZ113" i="4"/>
  <c r="BB76" i="4"/>
  <c r="BA82" i="4"/>
  <c r="BA88" i="4"/>
  <c r="BB83" i="4"/>
  <c r="BA94" i="4"/>
  <c r="BA92" i="4"/>
  <c r="AZ114" i="4"/>
  <c r="BA77" i="4"/>
  <c r="BB91" i="4"/>
  <c r="AZ115" i="4"/>
  <c r="AZ116" i="4"/>
  <c r="BB84" i="4"/>
  <c r="BB85" i="4"/>
  <c r="AZ119" i="4"/>
  <c r="BA87" i="4"/>
  <c r="BA89" i="4"/>
  <c r="BA79" i="4"/>
  <c r="BA75" i="4"/>
  <c r="BD59" i="3"/>
  <c r="BD43" i="3"/>
  <c r="BE42" i="3"/>
  <c r="BC44" i="3"/>
  <c r="AX23" i="3"/>
  <c r="AX52" i="3" s="1"/>
  <c r="AX16" i="3"/>
  <c r="AX36" i="3" s="1"/>
  <c r="AX15" i="3"/>
  <c r="AX35" i="3" s="1"/>
  <c r="AX21" i="3"/>
  <c r="AX50" i="3" s="1"/>
  <c r="AX14" i="3"/>
  <c r="AX34" i="3" s="1"/>
  <c r="AX24" i="3"/>
  <c r="AX53" i="3" s="1"/>
  <c r="AX17" i="3"/>
  <c r="AX37" i="3" s="1"/>
  <c r="AX20" i="3"/>
  <c r="AX49" i="3" s="1"/>
  <c r="AX13" i="3"/>
  <c r="AX33" i="3" s="1"/>
  <c r="AX22" i="3"/>
  <c r="AX51" i="3" s="1"/>
  <c r="AX5" i="6"/>
  <c r="AX5" i="4"/>
  <c r="AY3" i="4"/>
  <c r="AY3" i="6"/>
  <c r="AV28" i="3"/>
  <c r="AW48" i="3"/>
  <c r="AW32" i="3"/>
  <c r="AY56" i="3"/>
  <c r="BC57" i="3"/>
  <c r="BC58" i="3"/>
  <c r="AY41" i="3"/>
  <c r="BC40" i="3"/>
  <c r="BC60" i="3"/>
  <c r="AZ3" i="1"/>
  <c r="AY3" i="3"/>
  <c r="AY5" i="1"/>
  <c r="AX5" i="3"/>
  <c r="AZ3" i="12" l="1"/>
  <c r="AZ4" i="1"/>
  <c r="AY3" i="11"/>
  <c r="AY4" i="12"/>
  <c r="AX4" i="11"/>
  <c r="AY4" i="6"/>
  <c r="AY4" i="4"/>
  <c r="AY4" i="3"/>
  <c r="AY5" i="12"/>
  <c r="AX5" i="11"/>
  <c r="AT10" i="11"/>
  <c r="AT17" i="11" s="1"/>
  <c r="AU13" i="11"/>
  <c r="AU11" i="11"/>
  <c r="AW38" i="6"/>
  <c r="AW48" i="4"/>
  <c r="AX68" i="6"/>
  <c r="AY31" i="6"/>
  <c r="AY75" i="6" s="1"/>
  <c r="AY34" i="6"/>
  <c r="AY78" i="6" s="1"/>
  <c r="AY30" i="6"/>
  <c r="AY74" i="6" s="1"/>
  <c r="AY33" i="6"/>
  <c r="AY77" i="6" s="1"/>
  <c r="AY29" i="6"/>
  <c r="AY73" i="6" s="1"/>
  <c r="AY22" i="6"/>
  <c r="AY52" i="6" s="1"/>
  <c r="AY27" i="6"/>
  <c r="AY71" i="6" s="1"/>
  <c r="AY26" i="6"/>
  <c r="AY70" i="6" s="1"/>
  <c r="AY25" i="6"/>
  <c r="AY69" i="6" s="1"/>
  <c r="AY17" i="6"/>
  <c r="AY47" i="6" s="1"/>
  <c r="AY32" i="6"/>
  <c r="AY76" i="6" s="1"/>
  <c r="AY28" i="6"/>
  <c r="AY72" i="6" s="1"/>
  <c r="AY20" i="6"/>
  <c r="AY50" i="6" s="1"/>
  <c r="AY21" i="6"/>
  <c r="AY51" i="6" s="1"/>
  <c r="AY19" i="6"/>
  <c r="AY49" i="6" s="1"/>
  <c r="AY18" i="6"/>
  <c r="AY48" i="6" s="1"/>
  <c r="AY14" i="6"/>
  <c r="AY44" i="6" s="1"/>
  <c r="AY15" i="6"/>
  <c r="AY45" i="6" s="1"/>
  <c r="AY13" i="6"/>
  <c r="AY43" i="6" s="1"/>
  <c r="AY16" i="6"/>
  <c r="AY46" i="6" s="1"/>
  <c r="AX42" i="6"/>
  <c r="BB83" i="6"/>
  <c r="BB59" i="6"/>
  <c r="BB55" i="6"/>
  <c r="BB88" i="6"/>
  <c r="BB84" i="6"/>
  <c r="BB81" i="6"/>
  <c r="BB82" i="6"/>
  <c r="BB85" i="6"/>
  <c r="BB56" i="6"/>
  <c r="BB63" i="6"/>
  <c r="BB61" i="6"/>
  <c r="BB58" i="6"/>
  <c r="BB90" i="6"/>
  <c r="BB57" i="6"/>
  <c r="BB89" i="6"/>
  <c r="BB62" i="6"/>
  <c r="BB86" i="6"/>
  <c r="BB87" i="6"/>
  <c r="BB60" i="6"/>
  <c r="BB64" i="6"/>
  <c r="AX98" i="4"/>
  <c r="AX52" i="4"/>
  <c r="BB90" i="4"/>
  <c r="BA120" i="4"/>
  <c r="BB81" i="4"/>
  <c r="BC93" i="4"/>
  <c r="BA119" i="4"/>
  <c r="BB77" i="4"/>
  <c r="BB92" i="4"/>
  <c r="BC83" i="4"/>
  <c r="BB82" i="4"/>
  <c r="BA113" i="4"/>
  <c r="BA118" i="4"/>
  <c r="BB89" i="4"/>
  <c r="BA115" i="4"/>
  <c r="AY43" i="4"/>
  <c r="AY107" i="4" s="1"/>
  <c r="AY39" i="4"/>
  <c r="AY103" i="4" s="1"/>
  <c r="AY42" i="4"/>
  <c r="AY106" i="4" s="1"/>
  <c r="AY44" i="4"/>
  <c r="AY108" i="4" s="1"/>
  <c r="AY41" i="4"/>
  <c r="AY105" i="4" s="1"/>
  <c r="AY40" i="4"/>
  <c r="AY104" i="4" s="1"/>
  <c r="AY36" i="4"/>
  <c r="AY100" i="4" s="1"/>
  <c r="AY30" i="4"/>
  <c r="AY70" i="4" s="1"/>
  <c r="AY26" i="4"/>
  <c r="AY66" i="4" s="1"/>
  <c r="AY22" i="4"/>
  <c r="AY62" i="4" s="1"/>
  <c r="AY18" i="4"/>
  <c r="AY58" i="4" s="1"/>
  <c r="AY28" i="4"/>
  <c r="AY68" i="4" s="1"/>
  <c r="AY24" i="4"/>
  <c r="AY64" i="4" s="1"/>
  <c r="AY20" i="4"/>
  <c r="AY60" i="4" s="1"/>
  <c r="AY16" i="4"/>
  <c r="AY56" i="4" s="1"/>
  <c r="AY31" i="4"/>
  <c r="AY71" i="4" s="1"/>
  <c r="AY23" i="4"/>
  <c r="AY63" i="4" s="1"/>
  <c r="AY15" i="4"/>
  <c r="AY55" i="4" s="1"/>
  <c r="AY13" i="4"/>
  <c r="AY53" i="4" s="1"/>
  <c r="AY17" i="4"/>
  <c r="AY57" i="4" s="1"/>
  <c r="AY29" i="4"/>
  <c r="AY69" i="4" s="1"/>
  <c r="AY21" i="4"/>
  <c r="AY61" i="4" s="1"/>
  <c r="AY38" i="4"/>
  <c r="AY102" i="4" s="1"/>
  <c r="AY37" i="4"/>
  <c r="AY101" i="4" s="1"/>
  <c r="AY32" i="4"/>
  <c r="AY72" i="4" s="1"/>
  <c r="AY27" i="4"/>
  <c r="AY67" i="4" s="1"/>
  <c r="AY19" i="4"/>
  <c r="AY59" i="4" s="1"/>
  <c r="AY35" i="4"/>
  <c r="AY99" i="4" s="1"/>
  <c r="AY25" i="4"/>
  <c r="AY65" i="4" s="1"/>
  <c r="AY14" i="4"/>
  <c r="AY54" i="4" s="1"/>
  <c r="BB86" i="4"/>
  <c r="BB80" i="4"/>
  <c r="BA111" i="4"/>
  <c r="BA112" i="4"/>
  <c r="BC78" i="4"/>
  <c r="BB75" i="4"/>
  <c r="BC84" i="4"/>
  <c r="BB79" i="4"/>
  <c r="BB87" i="4"/>
  <c r="BC85" i="4"/>
  <c r="BA116" i="4"/>
  <c r="BC91" i="4"/>
  <c r="BA114" i="4"/>
  <c r="BB94" i="4"/>
  <c r="BB88" i="4"/>
  <c r="BC76" i="4"/>
  <c r="BA117" i="4"/>
  <c r="BE43" i="3"/>
  <c r="BE59" i="3"/>
  <c r="BD44" i="3"/>
  <c r="BF42" i="3"/>
  <c r="AY24" i="3"/>
  <c r="AY53" i="3" s="1"/>
  <c r="AY22" i="3"/>
  <c r="AY51" i="3" s="1"/>
  <c r="AY14" i="3"/>
  <c r="AY34" i="3" s="1"/>
  <c r="AY20" i="3"/>
  <c r="AY49" i="3" s="1"/>
  <c r="AY16" i="3"/>
  <c r="AY36" i="3" s="1"/>
  <c r="AY13" i="3"/>
  <c r="AY33" i="3" s="1"/>
  <c r="AY23" i="3"/>
  <c r="AY52" i="3" s="1"/>
  <c r="AY17" i="3"/>
  <c r="AY37" i="3" s="1"/>
  <c r="AY15" i="3"/>
  <c r="AY35" i="3" s="1"/>
  <c r="AY21" i="3"/>
  <c r="AY50" i="3" s="1"/>
  <c r="AY5" i="6"/>
  <c r="AY5" i="4"/>
  <c r="AZ3" i="6"/>
  <c r="AZ3" i="4"/>
  <c r="AW28" i="3"/>
  <c r="AX32" i="3"/>
  <c r="AX48" i="3"/>
  <c r="BD40" i="3"/>
  <c r="AZ41" i="3"/>
  <c r="BD57" i="3"/>
  <c r="BD60" i="3"/>
  <c r="BD58" i="3"/>
  <c r="AZ56" i="3"/>
  <c r="AZ5" i="1"/>
  <c r="AY5" i="3"/>
  <c r="BA3" i="1"/>
  <c r="AZ3" i="3"/>
  <c r="BA3" i="12" l="1"/>
  <c r="BA4" i="1"/>
  <c r="AZ3" i="11"/>
  <c r="AZ5" i="12"/>
  <c r="AY5" i="11"/>
  <c r="AZ4" i="12"/>
  <c r="AY4" i="11"/>
  <c r="AZ4" i="6"/>
  <c r="AZ4" i="4"/>
  <c r="AZ4" i="3"/>
  <c r="AU10" i="11"/>
  <c r="AU17" i="11" s="1"/>
  <c r="AV12" i="11"/>
  <c r="AV11" i="11"/>
  <c r="AV13" i="11"/>
  <c r="AX38" i="6"/>
  <c r="AY42" i="6"/>
  <c r="AX48" i="4"/>
  <c r="AZ34" i="6"/>
  <c r="AZ78" i="6" s="1"/>
  <c r="AZ30" i="6"/>
  <c r="AZ74" i="6" s="1"/>
  <c r="AZ33" i="6"/>
  <c r="AZ77" i="6" s="1"/>
  <c r="AZ29" i="6"/>
  <c r="AZ73" i="6" s="1"/>
  <c r="AZ32" i="6"/>
  <c r="AZ76" i="6" s="1"/>
  <c r="AZ31" i="6"/>
  <c r="AZ75" i="6" s="1"/>
  <c r="AZ27" i="6"/>
  <c r="AZ71" i="6" s="1"/>
  <c r="AZ21" i="6"/>
  <c r="AZ51" i="6" s="1"/>
  <c r="AZ26" i="6"/>
  <c r="AZ70" i="6" s="1"/>
  <c r="AZ28" i="6"/>
  <c r="AZ72" i="6" s="1"/>
  <c r="AZ25" i="6"/>
  <c r="AZ69" i="6" s="1"/>
  <c r="AZ20" i="6"/>
  <c r="AZ50" i="6" s="1"/>
  <c r="AZ16" i="6"/>
  <c r="AZ46" i="6" s="1"/>
  <c r="AZ19" i="6"/>
  <c r="AZ49" i="6" s="1"/>
  <c r="AZ18" i="6"/>
  <c r="AZ48" i="6" s="1"/>
  <c r="AZ15" i="6"/>
  <c r="AZ45" i="6" s="1"/>
  <c r="AZ13" i="6"/>
  <c r="AZ43" i="6" s="1"/>
  <c r="AZ14" i="6"/>
  <c r="AZ44" i="6" s="1"/>
  <c r="AZ17" i="6"/>
  <c r="AZ47" i="6" s="1"/>
  <c r="AZ22" i="6"/>
  <c r="AZ52" i="6" s="1"/>
  <c r="AY68" i="6"/>
  <c r="BC64" i="6"/>
  <c r="BC62" i="6"/>
  <c r="BC58" i="6"/>
  <c r="BC85" i="6"/>
  <c r="BC81" i="6"/>
  <c r="BC88" i="6"/>
  <c r="BC87" i="6"/>
  <c r="BC57" i="6"/>
  <c r="BC63" i="6"/>
  <c r="BC59" i="6"/>
  <c r="BC60" i="6"/>
  <c r="BC86" i="6"/>
  <c r="BC89" i="6"/>
  <c r="BC90" i="6"/>
  <c r="BC61" i="6"/>
  <c r="BC56" i="6"/>
  <c r="BC82" i="6"/>
  <c r="BC84" i="6"/>
  <c r="BC55" i="6"/>
  <c r="BC83" i="6"/>
  <c r="AY98" i="4"/>
  <c r="BB117" i="4"/>
  <c r="BC88" i="4"/>
  <c r="BB114" i="4"/>
  <c r="BB116" i="4"/>
  <c r="BC87" i="4"/>
  <c r="BD84" i="4"/>
  <c r="BD78" i="4"/>
  <c r="BB111" i="4"/>
  <c r="BC86" i="4"/>
  <c r="BB115" i="4"/>
  <c r="BB118" i="4"/>
  <c r="BC82" i="4"/>
  <c r="BC92" i="4"/>
  <c r="BB119" i="4"/>
  <c r="BC81" i="4"/>
  <c r="BC90" i="4"/>
  <c r="AZ42" i="4"/>
  <c r="AZ106" i="4" s="1"/>
  <c r="AZ38" i="4"/>
  <c r="AZ102" i="4" s="1"/>
  <c r="AZ41" i="4"/>
  <c r="AZ105" i="4" s="1"/>
  <c r="AZ44" i="4"/>
  <c r="AZ108" i="4" s="1"/>
  <c r="AZ35" i="4"/>
  <c r="AZ99" i="4" s="1"/>
  <c r="AZ29" i="4"/>
  <c r="AZ69" i="4" s="1"/>
  <c r="AZ25" i="4"/>
  <c r="AZ65" i="4" s="1"/>
  <c r="AZ21" i="4"/>
  <c r="AZ61" i="4" s="1"/>
  <c r="AZ17" i="4"/>
  <c r="AZ57" i="4" s="1"/>
  <c r="AZ37" i="4"/>
  <c r="AZ101" i="4" s="1"/>
  <c r="AZ32" i="4"/>
  <c r="AZ72" i="4" s="1"/>
  <c r="AZ31" i="4"/>
  <c r="AZ71" i="4" s="1"/>
  <c r="AZ27" i="4"/>
  <c r="AZ67" i="4" s="1"/>
  <c r="AZ23" i="4"/>
  <c r="AZ63" i="4" s="1"/>
  <c r="AZ19" i="4"/>
  <c r="AZ59" i="4" s="1"/>
  <c r="AZ15" i="4"/>
  <c r="AZ55" i="4" s="1"/>
  <c r="AZ36" i="4"/>
  <c r="AZ100" i="4" s="1"/>
  <c r="AZ26" i="4"/>
  <c r="AZ66" i="4" s="1"/>
  <c r="AZ18" i="4"/>
  <c r="AZ58" i="4" s="1"/>
  <c r="AZ13" i="4"/>
  <c r="AZ53" i="4" s="1"/>
  <c r="AZ24" i="4"/>
  <c r="AZ64" i="4" s="1"/>
  <c r="AZ16" i="4"/>
  <c r="AZ56" i="4" s="1"/>
  <c r="AZ40" i="4"/>
  <c r="AZ104" i="4" s="1"/>
  <c r="AZ39" i="4"/>
  <c r="AZ103" i="4" s="1"/>
  <c r="AZ30" i="4"/>
  <c r="AZ70" i="4" s="1"/>
  <c r="AZ22" i="4"/>
  <c r="AZ62" i="4" s="1"/>
  <c r="AZ14" i="4"/>
  <c r="AZ54" i="4" s="1"/>
  <c r="AZ43" i="4"/>
  <c r="AZ107" i="4" s="1"/>
  <c r="AZ28" i="4"/>
  <c r="AZ68" i="4" s="1"/>
  <c r="AZ20" i="4"/>
  <c r="AZ60" i="4" s="1"/>
  <c r="AY52" i="4"/>
  <c r="BD76" i="4"/>
  <c r="BC94" i="4"/>
  <c r="BD91" i="4"/>
  <c r="BD85" i="4"/>
  <c r="BC79" i="4"/>
  <c r="BC75" i="4"/>
  <c r="BB112" i="4"/>
  <c r="BC80" i="4"/>
  <c r="BC89" i="4"/>
  <c r="BB113" i="4"/>
  <c r="BD83" i="4"/>
  <c r="BC77" i="4"/>
  <c r="BD93" i="4"/>
  <c r="BB120" i="4"/>
  <c r="BF59" i="3"/>
  <c r="BF43" i="3"/>
  <c r="BG42" i="3"/>
  <c r="BE44" i="3"/>
  <c r="AZ23" i="3"/>
  <c r="AZ52" i="3" s="1"/>
  <c r="AZ21" i="3"/>
  <c r="AZ50" i="3" s="1"/>
  <c r="AZ20" i="3"/>
  <c r="AZ49" i="3" s="1"/>
  <c r="AZ17" i="3"/>
  <c r="AZ37" i="3" s="1"/>
  <c r="AZ16" i="3"/>
  <c r="AZ36" i="3" s="1"/>
  <c r="AZ22" i="3"/>
  <c r="AZ51" i="3" s="1"/>
  <c r="AZ15" i="3"/>
  <c r="AZ35" i="3" s="1"/>
  <c r="AZ14" i="3"/>
  <c r="AZ34" i="3" s="1"/>
  <c r="AZ24" i="3"/>
  <c r="AZ53" i="3" s="1"/>
  <c r="AZ13" i="3"/>
  <c r="AZ33" i="3" s="1"/>
  <c r="AZ5" i="4"/>
  <c r="AZ5" i="6"/>
  <c r="BA3" i="6"/>
  <c r="BA3" i="4"/>
  <c r="AX28" i="3"/>
  <c r="AY32" i="3"/>
  <c r="AY48" i="3"/>
  <c r="BE58" i="3"/>
  <c r="BA41" i="3"/>
  <c r="BA56" i="3"/>
  <c r="BE60" i="3"/>
  <c r="BE57" i="3"/>
  <c r="BE40" i="3"/>
  <c r="BB3" i="1"/>
  <c r="BA3" i="3"/>
  <c r="BA5" i="1"/>
  <c r="AZ5" i="3"/>
  <c r="BB3" i="12" l="1"/>
  <c r="BB4" i="1"/>
  <c r="BA3" i="11"/>
  <c r="BA5" i="12"/>
  <c r="AZ5" i="11"/>
  <c r="BA4" i="12"/>
  <c r="AZ4" i="11"/>
  <c r="BA4" i="6"/>
  <c r="BA4" i="4"/>
  <c r="BA4" i="3"/>
  <c r="AV10" i="11"/>
  <c r="AV17" i="11" s="1"/>
  <c r="AW12" i="11"/>
  <c r="AW11" i="11"/>
  <c r="AW13" i="11"/>
  <c r="AY48" i="4"/>
  <c r="AY38" i="6"/>
  <c r="AZ68" i="6"/>
  <c r="BA33" i="6"/>
  <c r="BA77" i="6" s="1"/>
  <c r="BA29" i="6"/>
  <c r="BA73" i="6" s="1"/>
  <c r="BA32" i="6"/>
  <c r="BA76" i="6" s="1"/>
  <c r="BA31" i="6"/>
  <c r="BA75" i="6" s="1"/>
  <c r="BA34" i="6"/>
  <c r="BA78" i="6" s="1"/>
  <c r="BA26" i="6"/>
  <c r="BA70" i="6" s="1"/>
  <c r="BA30" i="6"/>
  <c r="BA74" i="6" s="1"/>
  <c r="BA28" i="6"/>
  <c r="BA72" i="6" s="1"/>
  <c r="BA25" i="6"/>
  <c r="BA69" i="6" s="1"/>
  <c r="BA22" i="6"/>
  <c r="BA52" i="6" s="1"/>
  <c r="BA19" i="6"/>
  <c r="BA49" i="6" s="1"/>
  <c r="BA15" i="6"/>
  <c r="BA45" i="6" s="1"/>
  <c r="BA27" i="6"/>
  <c r="BA71" i="6" s="1"/>
  <c r="BA21" i="6"/>
  <c r="BA51" i="6" s="1"/>
  <c r="BA18" i="6"/>
  <c r="BA48" i="6" s="1"/>
  <c r="BA17" i="6"/>
  <c r="BA47" i="6" s="1"/>
  <c r="BA20" i="6"/>
  <c r="BA50" i="6" s="1"/>
  <c r="BA16" i="6"/>
  <c r="BA46" i="6" s="1"/>
  <c r="BA14" i="6"/>
  <c r="BA44" i="6" s="1"/>
  <c r="BA13" i="6"/>
  <c r="BA43" i="6" s="1"/>
  <c r="AZ42" i="6"/>
  <c r="BD83" i="6"/>
  <c r="BD56" i="6"/>
  <c r="BD86" i="6"/>
  <c r="BD88" i="6"/>
  <c r="BD85" i="6"/>
  <c r="BD84" i="6"/>
  <c r="BD90" i="6"/>
  <c r="BD59" i="6"/>
  <c r="BD57" i="6"/>
  <c r="BD62" i="6"/>
  <c r="BD55" i="6"/>
  <c r="BD82" i="6"/>
  <c r="BD61" i="6"/>
  <c r="BD89" i="6"/>
  <c r="BD60" i="6"/>
  <c r="BD63" i="6"/>
  <c r="BD87" i="6"/>
  <c r="BD81" i="6"/>
  <c r="BD58" i="6"/>
  <c r="BD64" i="6"/>
  <c r="AZ52" i="4"/>
  <c r="AZ98" i="4"/>
  <c r="BD90" i="4"/>
  <c r="BC119" i="4"/>
  <c r="BD82" i="4"/>
  <c r="BC115" i="4"/>
  <c r="BC111" i="4"/>
  <c r="BE84" i="4"/>
  <c r="BC116" i="4"/>
  <c r="BD88" i="4"/>
  <c r="BD77" i="4"/>
  <c r="BD75" i="4"/>
  <c r="BE85" i="4"/>
  <c r="BD94" i="4"/>
  <c r="BA41" i="4"/>
  <c r="BA105" i="4" s="1"/>
  <c r="BA44" i="4"/>
  <c r="BA108" i="4" s="1"/>
  <c r="BA43" i="4"/>
  <c r="BA107" i="4" s="1"/>
  <c r="BA28" i="4"/>
  <c r="BA68" i="4" s="1"/>
  <c r="BA24" i="4"/>
  <c r="BA64" i="4" s="1"/>
  <c r="BA20" i="4"/>
  <c r="BA60" i="4" s="1"/>
  <c r="BA16" i="4"/>
  <c r="BA56" i="4" s="1"/>
  <c r="BA40" i="4"/>
  <c r="BA104" i="4" s="1"/>
  <c r="BA39" i="4"/>
  <c r="BA103" i="4" s="1"/>
  <c r="BA38" i="4"/>
  <c r="BA102" i="4" s="1"/>
  <c r="BA36" i="4"/>
  <c r="BA100" i="4" s="1"/>
  <c r="BA30" i="4"/>
  <c r="BA70" i="4" s="1"/>
  <c r="BA26" i="4"/>
  <c r="BA66" i="4" s="1"/>
  <c r="BA22" i="4"/>
  <c r="BA62" i="4" s="1"/>
  <c r="BA18" i="4"/>
  <c r="BA58" i="4" s="1"/>
  <c r="BA29" i="4"/>
  <c r="BA69" i="4" s="1"/>
  <c r="BA21" i="4"/>
  <c r="BA61" i="4" s="1"/>
  <c r="BA19" i="4"/>
  <c r="BA59" i="4" s="1"/>
  <c r="BA23" i="4"/>
  <c r="BA63" i="4" s="1"/>
  <c r="BA37" i="4"/>
  <c r="BA101" i="4" s="1"/>
  <c r="BA32" i="4"/>
  <c r="BA72" i="4" s="1"/>
  <c r="BA27" i="4"/>
  <c r="BA67" i="4" s="1"/>
  <c r="BA14" i="4"/>
  <c r="BA54" i="4" s="1"/>
  <c r="BA15" i="4"/>
  <c r="BA55" i="4" s="1"/>
  <c r="BA35" i="4"/>
  <c r="BA99" i="4" s="1"/>
  <c r="BA25" i="4"/>
  <c r="BA65" i="4" s="1"/>
  <c r="BA17" i="4"/>
  <c r="BA57" i="4" s="1"/>
  <c r="BA13" i="4"/>
  <c r="BA53" i="4" s="1"/>
  <c r="BA42" i="4"/>
  <c r="BA106" i="4" s="1"/>
  <c r="BA31" i="4"/>
  <c r="BA71" i="4" s="1"/>
  <c r="BC113" i="4"/>
  <c r="BD81" i="4"/>
  <c r="BD92" i="4"/>
  <c r="BC118" i="4"/>
  <c r="BD86" i="4"/>
  <c r="BE78" i="4"/>
  <c r="BD87" i="4"/>
  <c r="BC114" i="4"/>
  <c r="BC117" i="4"/>
  <c r="BC120" i="4"/>
  <c r="BD80" i="4"/>
  <c r="BE93" i="4"/>
  <c r="BE83" i="4"/>
  <c r="BD89" i="4"/>
  <c r="BC112" i="4"/>
  <c r="BD79" i="4"/>
  <c r="BE91" i="4"/>
  <c r="BE76" i="4"/>
  <c r="BG43" i="3"/>
  <c r="BG59" i="3"/>
  <c r="BF44" i="3"/>
  <c r="BH42" i="3"/>
  <c r="BA24" i="3"/>
  <c r="BA53" i="3" s="1"/>
  <c r="BA17" i="3"/>
  <c r="BA37" i="3" s="1"/>
  <c r="BA23" i="3"/>
  <c r="BA52" i="3" s="1"/>
  <c r="BA20" i="3"/>
  <c r="BA49" i="3" s="1"/>
  <c r="BA22" i="3"/>
  <c r="BA51" i="3" s="1"/>
  <c r="BA15" i="3"/>
  <c r="BA35" i="3" s="1"/>
  <c r="BA14" i="3"/>
  <c r="BA34" i="3" s="1"/>
  <c r="BA16" i="3"/>
  <c r="BA36" i="3" s="1"/>
  <c r="BA21" i="3"/>
  <c r="BA50" i="3" s="1"/>
  <c r="BA13" i="3"/>
  <c r="BA33" i="3" s="1"/>
  <c r="BB3" i="4"/>
  <c r="BB3" i="6"/>
  <c r="BA5" i="4"/>
  <c r="BA5" i="6"/>
  <c r="AY28" i="3"/>
  <c r="AZ48" i="3"/>
  <c r="AZ32" i="3"/>
  <c r="BF57" i="3"/>
  <c r="BF58" i="3"/>
  <c r="BF40" i="3"/>
  <c r="BF60" i="3"/>
  <c r="BB56" i="3"/>
  <c r="BB41" i="3"/>
  <c r="BB5" i="1"/>
  <c r="BA5" i="3"/>
  <c r="BC3" i="1"/>
  <c r="BB3" i="3"/>
  <c r="BB5" i="12" l="1"/>
  <c r="BA5" i="11"/>
  <c r="BC3" i="12"/>
  <c r="BC4" i="1"/>
  <c r="BB3" i="11"/>
  <c r="BB4" i="12"/>
  <c r="BB4" i="3"/>
  <c r="BA4" i="11"/>
  <c r="BB4" i="6"/>
  <c r="BB4" i="4"/>
  <c r="AW10" i="11"/>
  <c r="AW17" i="11" s="1"/>
  <c r="AX13" i="11"/>
  <c r="AX11" i="11"/>
  <c r="AX12" i="11"/>
  <c r="AZ38" i="6"/>
  <c r="AZ48" i="4"/>
  <c r="BB32" i="6"/>
  <c r="BB76" i="6" s="1"/>
  <c r="BB28" i="6"/>
  <c r="BB72" i="6" s="1"/>
  <c r="BB31" i="6"/>
  <c r="BB75" i="6" s="1"/>
  <c r="BB34" i="6"/>
  <c r="BB78" i="6" s="1"/>
  <c r="BB30" i="6"/>
  <c r="BB74" i="6" s="1"/>
  <c r="BB25" i="6"/>
  <c r="BB69" i="6" s="1"/>
  <c r="BB33" i="6"/>
  <c r="BB77" i="6" s="1"/>
  <c r="BB29" i="6"/>
  <c r="BB73" i="6" s="1"/>
  <c r="BB27" i="6"/>
  <c r="BB71" i="6" s="1"/>
  <c r="BB21" i="6"/>
  <c r="BB51" i="6" s="1"/>
  <c r="BB18" i="6"/>
  <c r="BB48" i="6" s="1"/>
  <c r="BB17" i="6"/>
  <c r="BB47" i="6" s="1"/>
  <c r="BB26" i="6"/>
  <c r="BB70" i="6" s="1"/>
  <c r="BB22" i="6"/>
  <c r="BB52" i="6" s="1"/>
  <c r="BB20" i="6"/>
  <c r="BB50" i="6" s="1"/>
  <c r="BB16" i="6"/>
  <c r="BB46" i="6" s="1"/>
  <c r="BB14" i="6"/>
  <c r="BB44" i="6" s="1"/>
  <c r="BB19" i="6"/>
  <c r="BB49" i="6" s="1"/>
  <c r="BB13" i="6"/>
  <c r="BB43" i="6" s="1"/>
  <c r="BB15" i="6"/>
  <c r="BB45" i="6" s="1"/>
  <c r="BA68" i="6"/>
  <c r="BA42" i="6"/>
  <c r="BE64" i="6"/>
  <c r="BE63" i="6"/>
  <c r="BE89" i="6"/>
  <c r="BE62" i="6"/>
  <c r="BE59" i="6"/>
  <c r="BE84" i="6"/>
  <c r="BE56" i="6"/>
  <c r="BE81" i="6"/>
  <c r="BE82" i="6"/>
  <c r="BE88" i="6"/>
  <c r="BE58" i="6"/>
  <c r="BE87" i="6"/>
  <c r="BE60" i="6"/>
  <c r="BE61" i="6"/>
  <c r="BE55" i="6"/>
  <c r="BE57" i="6"/>
  <c r="BE90" i="6"/>
  <c r="BE85" i="6"/>
  <c r="BE86" i="6"/>
  <c r="BE83" i="6"/>
  <c r="BA98" i="4"/>
  <c r="BB44" i="4"/>
  <c r="BB108" i="4" s="1"/>
  <c r="BB40" i="4"/>
  <c r="BB104" i="4" s="1"/>
  <c r="BB43" i="4"/>
  <c r="BB107" i="4" s="1"/>
  <c r="BB42" i="4"/>
  <c r="BB106" i="4" s="1"/>
  <c r="BB37" i="4"/>
  <c r="BB101" i="4" s="1"/>
  <c r="BB32" i="4"/>
  <c r="BB72" i="4" s="1"/>
  <c r="BB31" i="4"/>
  <c r="BB71" i="4" s="1"/>
  <c r="BB27" i="4"/>
  <c r="BB67" i="4" s="1"/>
  <c r="BB23" i="4"/>
  <c r="BB63" i="4" s="1"/>
  <c r="BB19" i="4"/>
  <c r="BB59" i="4" s="1"/>
  <c r="BB35" i="4"/>
  <c r="BB99" i="4" s="1"/>
  <c r="BB29" i="4"/>
  <c r="BB69" i="4" s="1"/>
  <c r="BB25" i="4"/>
  <c r="BB65" i="4" s="1"/>
  <c r="BB21" i="4"/>
  <c r="BB61" i="4" s="1"/>
  <c r="BB17" i="4"/>
  <c r="BB57" i="4" s="1"/>
  <c r="BB41" i="4"/>
  <c r="BB105" i="4" s="1"/>
  <c r="BB24" i="4"/>
  <c r="BB64" i="4" s="1"/>
  <c r="BB16" i="4"/>
  <c r="BB56" i="4" s="1"/>
  <c r="BB14" i="4"/>
  <c r="BB54" i="4" s="1"/>
  <c r="BB13" i="4"/>
  <c r="BB53" i="4" s="1"/>
  <c r="BB18" i="4"/>
  <c r="BB58" i="4" s="1"/>
  <c r="BB39" i="4"/>
  <c r="BB103" i="4" s="1"/>
  <c r="BB38" i="4"/>
  <c r="BB102" i="4" s="1"/>
  <c r="BB30" i="4"/>
  <c r="BB70" i="4" s="1"/>
  <c r="BB22" i="4"/>
  <c r="BB62" i="4" s="1"/>
  <c r="BB28" i="4"/>
  <c r="BB68" i="4" s="1"/>
  <c r="BB20" i="4"/>
  <c r="BB60" i="4" s="1"/>
  <c r="BB15" i="4"/>
  <c r="BB55" i="4" s="1"/>
  <c r="BB36" i="4"/>
  <c r="BB100" i="4" s="1"/>
  <c r="BB26" i="4"/>
  <c r="BB66" i="4" s="1"/>
  <c r="BE79" i="4"/>
  <c r="BD120" i="4"/>
  <c r="BD118" i="4"/>
  <c r="BE81" i="4"/>
  <c r="BE82" i="4"/>
  <c r="BF91" i="4"/>
  <c r="BD112" i="4"/>
  <c r="BF83" i="4"/>
  <c r="BE80" i="4"/>
  <c r="BD117" i="4"/>
  <c r="BE87" i="4"/>
  <c r="BE86" i="4"/>
  <c r="BE92" i="4"/>
  <c r="BD113" i="4"/>
  <c r="BA52" i="4"/>
  <c r="BE94" i="4"/>
  <c r="BE75" i="4"/>
  <c r="BE88" i="4"/>
  <c r="BF84" i="4"/>
  <c r="BD115" i="4"/>
  <c r="BD119" i="4"/>
  <c r="BF76" i="4"/>
  <c r="BF93" i="4"/>
  <c r="BF78" i="4"/>
  <c r="BF85" i="4"/>
  <c r="BD116" i="4"/>
  <c r="BE90" i="4"/>
  <c r="BE89" i="4"/>
  <c r="BD114" i="4"/>
  <c r="BE77" i="4"/>
  <c r="BD111" i="4"/>
  <c r="BH59" i="3"/>
  <c r="BH43" i="3"/>
  <c r="BI42" i="3"/>
  <c r="BG44" i="3"/>
  <c r="BB23" i="3"/>
  <c r="BB52" i="3" s="1"/>
  <c r="BB16" i="3"/>
  <c r="BB36" i="3" s="1"/>
  <c r="BB24" i="3"/>
  <c r="BB53" i="3" s="1"/>
  <c r="BB22" i="3"/>
  <c r="BB51" i="3" s="1"/>
  <c r="BB21" i="3"/>
  <c r="BB50" i="3" s="1"/>
  <c r="BB15" i="3"/>
  <c r="BB35" i="3" s="1"/>
  <c r="BB17" i="3"/>
  <c r="BB37" i="3" s="1"/>
  <c r="BB13" i="3"/>
  <c r="BB33" i="3" s="1"/>
  <c r="BB20" i="3"/>
  <c r="BB49" i="3" s="1"/>
  <c r="BB14" i="3"/>
  <c r="BB34" i="3" s="1"/>
  <c r="BB5" i="6"/>
  <c r="BB5" i="4"/>
  <c r="BC3" i="6"/>
  <c r="BC3" i="4"/>
  <c r="BA32" i="3"/>
  <c r="BA48" i="3"/>
  <c r="BC41" i="3"/>
  <c r="BG60" i="3"/>
  <c r="BG58" i="3"/>
  <c r="BG57" i="3"/>
  <c r="BC56" i="3"/>
  <c r="BG40" i="3"/>
  <c r="AZ28" i="3"/>
  <c r="BD3" i="1"/>
  <c r="BC3" i="3"/>
  <c r="BC5" i="1"/>
  <c r="BB5" i="3"/>
  <c r="BD3" i="12" l="1"/>
  <c r="BD4" i="1"/>
  <c r="BC3" i="11"/>
  <c r="BC4" i="12"/>
  <c r="BB4" i="11"/>
  <c r="BC4" i="6"/>
  <c r="BC4" i="4"/>
  <c r="BC4" i="3"/>
  <c r="BC5" i="12"/>
  <c r="BB5" i="11"/>
  <c r="AX10" i="11"/>
  <c r="AX17" i="11" s="1"/>
  <c r="AY12" i="11"/>
  <c r="AY11" i="11"/>
  <c r="AY13" i="11"/>
  <c r="BA38" i="6"/>
  <c r="BA48" i="4"/>
  <c r="BB42" i="6"/>
  <c r="BC31" i="6"/>
  <c r="BC75" i="6" s="1"/>
  <c r="BC34" i="6"/>
  <c r="BC78" i="6" s="1"/>
  <c r="BC30" i="6"/>
  <c r="BC74" i="6" s="1"/>
  <c r="BC33" i="6"/>
  <c r="BC77" i="6" s="1"/>
  <c r="BC29" i="6"/>
  <c r="BC73" i="6" s="1"/>
  <c r="BC28" i="6"/>
  <c r="BC72" i="6" s="1"/>
  <c r="BC22" i="6"/>
  <c r="BC52" i="6" s="1"/>
  <c r="BC27" i="6"/>
  <c r="BC71" i="6" s="1"/>
  <c r="BC32" i="6"/>
  <c r="BC76" i="6" s="1"/>
  <c r="BC26" i="6"/>
  <c r="BC70" i="6" s="1"/>
  <c r="BC17" i="6"/>
  <c r="BC47" i="6" s="1"/>
  <c r="BC20" i="6"/>
  <c r="BC50" i="6" s="1"/>
  <c r="BC19" i="6"/>
  <c r="BC49" i="6" s="1"/>
  <c r="BC15" i="6"/>
  <c r="BC45" i="6" s="1"/>
  <c r="BC16" i="6"/>
  <c r="BC46" i="6" s="1"/>
  <c r="BC14" i="6"/>
  <c r="BC44" i="6" s="1"/>
  <c r="BC13" i="6"/>
  <c r="BC43" i="6" s="1"/>
  <c r="BC25" i="6"/>
  <c r="BC69" i="6" s="1"/>
  <c r="BC21" i="6"/>
  <c r="BC51" i="6" s="1"/>
  <c r="BC18" i="6"/>
  <c r="BC48" i="6" s="1"/>
  <c r="BB68" i="6"/>
  <c r="BF83" i="6"/>
  <c r="BF57" i="6"/>
  <c r="BF87" i="6"/>
  <c r="BF81" i="6"/>
  <c r="BF84" i="6"/>
  <c r="BF63" i="6"/>
  <c r="BF85" i="6"/>
  <c r="BF61" i="6"/>
  <c r="BF88" i="6"/>
  <c r="BF62" i="6"/>
  <c r="BF86" i="6"/>
  <c r="BF90" i="6"/>
  <c r="BF55" i="6"/>
  <c r="BF60" i="6"/>
  <c r="BF58" i="6"/>
  <c r="BF82" i="6"/>
  <c r="BF56" i="6"/>
  <c r="BF59" i="6"/>
  <c r="BF89" i="6"/>
  <c r="BF64" i="6"/>
  <c r="BB98" i="4"/>
  <c r="BF92" i="4"/>
  <c r="BE112" i="4"/>
  <c r="BE118" i="4"/>
  <c r="BE111" i="4"/>
  <c r="BE119" i="4"/>
  <c r="BF87" i="4"/>
  <c r="BF90" i="4"/>
  <c r="BG93" i="4"/>
  <c r="BF75" i="4"/>
  <c r="BC43" i="4"/>
  <c r="BC107" i="4" s="1"/>
  <c r="BC39" i="4"/>
  <c r="BC103" i="4" s="1"/>
  <c r="BC42" i="4"/>
  <c r="BC106" i="4" s="1"/>
  <c r="BC38" i="4"/>
  <c r="BC102" i="4" s="1"/>
  <c r="BC36" i="4"/>
  <c r="BC100" i="4" s="1"/>
  <c r="BC30" i="4"/>
  <c r="BC70" i="4" s="1"/>
  <c r="BC26" i="4"/>
  <c r="BC66" i="4" s="1"/>
  <c r="BC22" i="4"/>
  <c r="BC62" i="4" s="1"/>
  <c r="BC18" i="4"/>
  <c r="BC58" i="4" s="1"/>
  <c r="BC41" i="4"/>
  <c r="BC105" i="4" s="1"/>
  <c r="BC28" i="4"/>
  <c r="BC68" i="4" s="1"/>
  <c r="BC24" i="4"/>
  <c r="BC64" i="4" s="1"/>
  <c r="BC20" i="4"/>
  <c r="BC60" i="4" s="1"/>
  <c r="BC16" i="4"/>
  <c r="BC56" i="4" s="1"/>
  <c r="BC44" i="4"/>
  <c r="BC108" i="4" s="1"/>
  <c r="BC37" i="4"/>
  <c r="BC101" i="4" s="1"/>
  <c r="BC32" i="4"/>
  <c r="BC72" i="4" s="1"/>
  <c r="BC27" i="4"/>
  <c r="BC67" i="4" s="1"/>
  <c r="BC19" i="4"/>
  <c r="BC59" i="4" s="1"/>
  <c r="BC13" i="4"/>
  <c r="BC53" i="4" s="1"/>
  <c r="BC21" i="4"/>
  <c r="BC61" i="4" s="1"/>
  <c r="BC14" i="4"/>
  <c r="BC54" i="4" s="1"/>
  <c r="BC40" i="4"/>
  <c r="BC104" i="4" s="1"/>
  <c r="BC35" i="4"/>
  <c r="BC99" i="4" s="1"/>
  <c r="BC25" i="4"/>
  <c r="BC65" i="4" s="1"/>
  <c r="BC17" i="4"/>
  <c r="BC57" i="4" s="1"/>
  <c r="BC15" i="4"/>
  <c r="BC55" i="4" s="1"/>
  <c r="BC31" i="4"/>
  <c r="BC71" i="4" s="1"/>
  <c r="BC23" i="4"/>
  <c r="BC63" i="4" s="1"/>
  <c r="BC29" i="4"/>
  <c r="BC69" i="4" s="1"/>
  <c r="BE113" i="4"/>
  <c r="BF86" i="4"/>
  <c r="BE117" i="4"/>
  <c r="BG83" i="4"/>
  <c r="BG91" i="4"/>
  <c r="BF81" i="4"/>
  <c r="BE120" i="4"/>
  <c r="BF80" i="4"/>
  <c r="BF82" i="4"/>
  <c r="BF79" i="4"/>
  <c r="BB52" i="4"/>
  <c r="BE114" i="4"/>
  <c r="BG85" i="4"/>
  <c r="BG84" i="4"/>
  <c r="BF77" i="4"/>
  <c r="BF89" i="4"/>
  <c r="BE116" i="4"/>
  <c r="BG78" i="4"/>
  <c r="BG76" i="4"/>
  <c r="BE115" i="4"/>
  <c r="BF88" i="4"/>
  <c r="BF94" i="4"/>
  <c r="BI43" i="3"/>
  <c r="BI59" i="3"/>
  <c r="BH44" i="3"/>
  <c r="BJ42" i="3"/>
  <c r="BC24" i="3"/>
  <c r="BC53" i="3" s="1"/>
  <c r="BC22" i="3"/>
  <c r="BC51" i="3" s="1"/>
  <c r="BC14" i="3"/>
  <c r="BC34" i="3" s="1"/>
  <c r="BC23" i="3"/>
  <c r="BC52" i="3" s="1"/>
  <c r="BC17" i="3"/>
  <c r="BC37" i="3" s="1"/>
  <c r="BC13" i="3"/>
  <c r="BC33" i="3" s="1"/>
  <c r="BC21" i="3"/>
  <c r="BC50" i="3" s="1"/>
  <c r="BC20" i="3"/>
  <c r="BC49" i="3" s="1"/>
  <c r="BC16" i="3"/>
  <c r="BC36" i="3" s="1"/>
  <c r="BC15" i="3"/>
  <c r="BC35" i="3" s="1"/>
  <c r="BD3" i="6"/>
  <c r="BD3" i="4"/>
  <c r="BC5" i="6"/>
  <c r="BC5" i="4"/>
  <c r="BA28" i="3"/>
  <c r="BB48" i="3"/>
  <c r="BB32" i="3"/>
  <c r="BD56" i="3"/>
  <c r="BH57" i="3"/>
  <c r="BH58" i="3"/>
  <c r="BD41" i="3"/>
  <c r="BH40" i="3"/>
  <c r="BH60" i="3"/>
  <c r="BD5" i="1"/>
  <c r="BC5" i="3"/>
  <c r="BE3" i="1"/>
  <c r="BD3" i="3"/>
  <c r="BD5" i="12" l="1"/>
  <c r="BC5" i="11"/>
  <c r="BE3" i="12"/>
  <c r="BE4" i="1"/>
  <c r="BD3" i="11"/>
  <c r="BD4" i="12"/>
  <c r="BC4" i="11"/>
  <c r="BD4" i="6"/>
  <c r="BD4" i="4"/>
  <c r="BD4" i="3"/>
  <c r="AY10" i="11"/>
  <c r="AY17" i="11" s="1"/>
  <c r="AZ11" i="11"/>
  <c r="AZ12" i="11"/>
  <c r="AZ13" i="11"/>
  <c r="BB38" i="6"/>
  <c r="BB48" i="4"/>
  <c r="BD34" i="6"/>
  <c r="BD78" i="6" s="1"/>
  <c r="BD30" i="6"/>
  <c r="BD74" i="6" s="1"/>
  <c r="BD33" i="6"/>
  <c r="BD77" i="6" s="1"/>
  <c r="BD29" i="6"/>
  <c r="BD73" i="6" s="1"/>
  <c r="BD32" i="6"/>
  <c r="BD76" i="6" s="1"/>
  <c r="BD28" i="6"/>
  <c r="BD72" i="6" s="1"/>
  <c r="BD27" i="6"/>
  <c r="BD71" i="6" s="1"/>
  <c r="BD21" i="6"/>
  <c r="BD51" i="6" s="1"/>
  <c r="BD26" i="6"/>
  <c r="BD70" i="6" s="1"/>
  <c r="BD25" i="6"/>
  <c r="BD69" i="6" s="1"/>
  <c r="BD31" i="6"/>
  <c r="BD75" i="6" s="1"/>
  <c r="BD20" i="6"/>
  <c r="BD50" i="6" s="1"/>
  <c r="BD16" i="6"/>
  <c r="BD46" i="6" s="1"/>
  <c r="BD22" i="6"/>
  <c r="BD52" i="6" s="1"/>
  <c r="BD19" i="6"/>
  <c r="BD49" i="6" s="1"/>
  <c r="BD18" i="6"/>
  <c r="BD48" i="6" s="1"/>
  <c r="BD17" i="6"/>
  <c r="BD47" i="6" s="1"/>
  <c r="BD13" i="6"/>
  <c r="BD43" i="6" s="1"/>
  <c r="BD15" i="6"/>
  <c r="BD45" i="6" s="1"/>
  <c r="BD14" i="6"/>
  <c r="BD44" i="6" s="1"/>
  <c r="BC68" i="6"/>
  <c r="BC42" i="6"/>
  <c r="BG64" i="6"/>
  <c r="BG82" i="6"/>
  <c r="BG90" i="6"/>
  <c r="BG61" i="6"/>
  <c r="BG63" i="6"/>
  <c r="BG57" i="6"/>
  <c r="BG59" i="6"/>
  <c r="BG60" i="6"/>
  <c r="BG62" i="6"/>
  <c r="BG81" i="6"/>
  <c r="BG89" i="6"/>
  <c r="BG56" i="6"/>
  <c r="BG58" i="6"/>
  <c r="BG55" i="6"/>
  <c r="BG86" i="6"/>
  <c r="BG88" i="6"/>
  <c r="BG85" i="6"/>
  <c r="BG84" i="6"/>
  <c r="BG87" i="6"/>
  <c r="BG83" i="6"/>
  <c r="BC98" i="4"/>
  <c r="BG80" i="4"/>
  <c r="BH83" i="4"/>
  <c r="BG86" i="4"/>
  <c r="BG87" i="4"/>
  <c r="BH78" i="4"/>
  <c r="BF114" i="4"/>
  <c r="BG79" i="4"/>
  <c r="BH93" i="4"/>
  <c r="BF112" i="4"/>
  <c r="BF115" i="4"/>
  <c r="BH84" i="4"/>
  <c r="BG82" i="4"/>
  <c r="BF120" i="4"/>
  <c r="BH91" i="4"/>
  <c r="BF117" i="4"/>
  <c r="BF113" i="4"/>
  <c r="BC52" i="4"/>
  <c r="BG75" i="4"/>
  <c r="BG90" i="4"/>
  <c r="BF119" i="4"/>
  <c r="BF118" i="4"/>
  <c r="BG92" i="4"/>
  <c r="BD42" i="4"/>
  <c r="BD106" i="4" s="1"/>
  <c r="BD38" i="4"/>
  <c r="BD102" i="4" s="1"/>
  <c r="BD41" i="4"/>
  <c r="BD105" i="4" s="1"/>
  <c r="BD44" i="4"/>
  <c r="BD108" i="4" s="1"/>
  <c r="BD43" i="4"/>
  <c r="BD107" i="4" s="1"/>
  <c r="BD40" i="4"/>
  <c r="BD104" i="4" s="1"/>
  <c r="BD39" i="4"/>
  <c r="BD103" i="4" s="1"/>
  <c r="BD35" i="4"/>
  <c r="BD99" i="4" s="1"/>
  <c r="BD29" i="4"/>
  <c r="BD69" i="4" s="1"/>
  <c r="BD25" i="4"/>
  <c r="BD65" i="4" s="1"/>
  <c r="BD21" i="4"/>
  <c r="BD61" i="4" s="1"/>
  <c r="BD17" i="4"/>
  <c r="BD57" i="4" s="1"/>
  <c r="BD37" i="4"/>
  <c r="BD101" i="4" s="1"/>
  <c r="BD32" i="4"/>
  <c r="BD72" i="4" s="1"/>
  <c r="BD31" i="4"/>
  <c r="BD71" i="4" s="1"/>
  <c r="BD27" i="4"/>
  <c r="BD67" i="4" s="1"/>
  <c r="BD23" i="4"/>
  <c r="BD63" i="4" s="1"/>
  <c r="BD19" i="4"/>
  <c r="BD59" i="4" s="1"/>
  <c r="BD15" i="4"/>
  <c r="BD55" i="4" s="1"/>
  <c r="BD30" i="4"/>
  <c r="BD70" i="4" s="1"/>
  <c r="BD22" i="4"/>
  <c r="BD62" i="4" s="1"/>
  <c r="BD20" i="4"/>
  <c r="BD60" i="4" s="1"/>
  <c r="BD16" i="4"/>
  <c r="BD56" i="4" s="1"/>
  <c r="BD28" i="4"/>
  <c r="BD68" i="4" s="1"/>
  <c r="BD13" i="4"/>
  <c r="BD53" i="4" s="1"/>
  <c r="BD36" i="4"/>
  <c r="BD100" i="4" s="1"/>
  <c r="BD26" i="4"/>
  <c r="BD66" i="4" s="1"/>
  <c r="BD18" i="4"/>
  <c r="BD58" i="4" s="1"/>
  <c r="BD14" i="4"/>
  <c r="BD54" i="4" s="1"/>
  <c r="BD24" i="4"/>
  <c r="BD64" i="4" s="1"/>
  <c r="BG81" i="4"/>
  <c r="BF111" i="4"/>
  <c r="BG94" i="4"/>
  <c r="BG89" i="4"/>
  <c r="BG88" i="4"/>
  <c r="BH76" i="4"/>
  <c r="BF116" i="4"/>
  <c r="BG77" i="4"/>
  <c r="BH85" i="4"/>
  <c r="BJ59" i="3"/>
  <c r="BJ43" i="3"/>
  <c r="BI44" i="3"/>
  <c r="BD23" i="3"/>
  <c r="BD52" i="3" s="1"/>
  <c r="BD21" i="3"/>
  <c r="BD50" i="3" s="1"/>
  <c r="BD20" i="3"/>
  <c r="BD49" i="3" s="1"/>
  <c r="BD24" i="3"/>
  <c r="BD53" i="3" s="1"/>
  <c r="BD15" i="3"/>
  <c r="BD35" i="3" s="1"/>
  <c r="BD14" i="3"/>
  <c r="BD34" i="3" s="1"/>
  <c r="BD13" i="3"/>
  <c r="BD33" i="3" s="1"/>
  <c r="BD16" i="3"/>
  <c r="BD36" i="3" s="1"/>
  <c r="BD22" i="3"/>
  <c r="BD51" i="3" s="1"/>
  <c r="BD17" i="3"/>
  <c r="BD37" i="3" s="1"/>
  <c r="BD5" i="4"/>
  <c r="BD5" i="6"/>
  <c r="BE3" i="4"/>
  <c r="BE3" i="6"/>
  <c r="BB28" i="3"/>
  <c r="BC48" i="3"/>
  <c r="BC32" i="3"/>
  <c r="BE56" i="3"/>
  <c r="BI60" i="3"/>
  <c r="BI57" i="3"/>
  <c r="BI40" i="3"/>
  <c r="BE41" i="3"/>
  <c r="BI58" i="3"/>
  <c r="BF3" i="1"/>
  <c r="BE3" i="3"/>
  <c r="BE5" i="1"/>
  <c r="BD5" i="3"/>
  <c r="BF3" i="12" l="1"/>
  <c r="BF4" i="1"/>
  <c r="BE3" i="11"/>
  <c r="BE4" i="12"/>
  <c r="BD4" i="11"/>
  <c r="BE4" i="6"/>
  <c r="BE4" i="4"/>
  <c r="BE4" i="3"/>
  <c r="BE5" i="12"/>
  <c r="BD5" i="11"/>
  <c r="AZ10" i="11"/>
  <c r="AZ17" i="11" s="1"/>
  <c r="BA11" i="11"/>
  <c r="BA12" i="11"/>
  <c r="BA13" i="11"/>
  <c r="BC38" i="6"/>
  <c r="BC48" i="4"/>
  <c r="BD42" i="6"/>
  <c r="BD68" i="6"/>
  <c r="BE33" i="6"/>
  <c r="BE77" i="6" s="1"/>
  <c r="BE29" i="6"/>
  <c r="BE73" i="6" s="1"/>
  <c r="BE32" i="6"/>
  <c r="BE76" i="6" s="1"/>
  <c r="BE31" i="6"/>
  <c r="BE75" i="6" s="1"/>
  <c r="BE30" i="6"/>
  <c r="BE74" i="6" s="1"/>
  <c r="BE26" i="6"/>
  <c r="BE70" i="6" s="1"/>
  <c r="BE25" i="6"/>
  <c r="BE69" i="6" s="1"/>
  <c r="BE22" i="6"/>
  <c r="BE52" i="6" s="1"/>
  <c r="BE28" i="6"/>
  <c r="BE72" i="6" s="1"/>
  <c r="BE27" i="6"/>
  <c r="BE71" i="6" s="1"/>
  <c r="BE19" i="6"/>
  <c r="BE49" i="6" s="1"/>
  <c r="BE15" i="6"/>
  <c r="BE45" i="6" s="1"/>
  <c r="BE18" i="6"/>
  <c r="BE48" i="6" s="1"/>
  <c r="BE34" i="6"/>
  <c r="BE78" i="6" s="1"/>
  <c r="BE21" i="6"/>
  <c r="BE51" i="6" s="1"/>
  <c r="BE17" i="6"/>
  <c r="BE47" i="6" s="1"/>
  <c r="BE20" i="6"/>
  <c r="BE50" i="6" s="1"/>
  <c r="BE16" i="6"/>
  <c r="BE46" i="6" s="1"/>
  <c r="BE13" i="6"/>
  <c r="BE43" i="6" s="1"/>
  <c r="BE14" i="6"/>
  <c r="BE44" i="6" s="1"/>
  <c r="BH84" i="6"/>
  <c r="BH55" i="6"/>
  <c r="BH56" i="6"/>
  <c r="BH60" i="6"/>
  <c r="BH57" i="6"/>
  <c r="BH82" i="6"/>
  <c r="BH83" i="6"/>
  <c r="BH88" i="6"/>
  <c r="BH81" i="6"/>
  <c r="BH61" i="6"/>
  <c r="BH87" i="6"/>
  <c r="BH85" i="6"/>
  <c r="BH86" i="6"/>
  <c r="BH58" i="6"/>
  <c r="BH89" i="6"/>
  <c r="BH62" i="6"/>
  <c r="BH59" i="6"/>
  <c r="BH63" i="6"/>
  <c r="BH90" i="6"/>
  <c r="BH64" i="6"/>
  <c r="BD98" i="4"/>
  <c r="BG113" i="4"/>
  <c r="BG114" i="4"/>
  <c r="BI85" i="4"/>
  <c r="BH94" i="4"/>
  <c r="BH92" i="4"/>
  <c r="BG119" i="4"/>
  <c r="BH75" i="4"/>
  <c r="BI91" i="4"/>
  <c r="BI93" i="4"/>
  <c r="BH87" i="4"/>
  <c r="BG117" i="4"/>
  <c r="BG120" i="4"/>
  <c r="BI84" i="4"/>
  <c r="BG112" i="4"/>
  <c r="BH79" i="4"/>
  <c r="BI78" i="4"/>
  <c r="BH86" i="4"/>
  <c r="BH80" i="4"/>
  <c r="BE41" i="4"/>
  <c r="BE105" i="4" s="1"/>
  <c r="BE44" i="4"/>
  <c r="BE108" i="4" s="1"/>
  <c r="BE40" i="4"/>
  <c r="BE104" i="4" s="1"/>
  <c r="BE43" i="4"/>
  <c r="BE107" i="4" s="1"/>
  <c r="BE28" i="4"/>
  <c r="BE68" i="4" s="1"/>
  <c r="BE24" i="4"/>
  <c r="BE64" i="4" s="1"/>
  <c r="BE20" i="4"/>
  <c r="BE60" i="4" s="1"/>
  <c r="BE16" i="4"/>
  <c r="BE56" i="4" s="1"/>
  <c r="BE36" i="4"/>
  <c r="BE100" i="4" s="1"/>
  <c r="BE30" i="4"/>
  <c r="BE70" i="4" s="1"/>
  <c r="BE26" i="4"/>
  <c r="BE66" i="4" s="1"/>
  <c r="BE22" i="4"/>
  <c r="BE62" i="4" s="1"/>
  <c r="BE18" i="4"/>
  <c r="BE58" i="4" s="1"/>
  <c r="BE39" i="4"/>
  <c r="BE103" i="4" s="1"/>
  <c r="BE38" i="4"/>
  <c r="BE102" i="4" s="1"/>
  <c r="BE35" i="4"/>
  <c r="BE99" i="4" s="1"/>
  <c r="BE25" i="4"/>
  <c r="BE65" i="4" s="1"/>
  <c r="BE17" i="4"/>
  <c r="BE57" i="4" s="1"/>
  <c r="BE15" i="4"/>
  <c r="BE55" i="4" s="1"/>
  <c r="BE14" i="4"/>
  <c r="BE54" i="4" s="1"/>
  <c r="BE19" i="4"/>
  <c r="BE59" i="4" s="1"/>
  <c r="BE31" i="4"/>
  <c r="BE71" i="4" s="1"/>
  <c r="BE23" i="4"/>
  <c r="BE63" i="4" s="1"/>
  <c r="BE42" i="4"/>
  <c r="BE106" i="4" s="1"/>
  <c r="BE29" i="4"/>
  <c r="BE69" i="4" s="1"/>
  <c r="BE21" i="4"/>
  <c r="BE61" i="4" s="1"/>
  <c r="BE13" i="4"/>
  <c r="BE53" i="4" s="1"/>
  <c r="BE37" i="4"/>
  <c r="BE101" i="4" s="1"/>
  <c r="BE32" i="4"/>
  <c r="BE72" i="4" s="1"/>
  <c r="BE27" i="4"/>
  <c r="BE67" i="4" s="1"/>
  <c r="BD52" i="4"/>
  <c r="BH82" i="4"/>
  <c r="BG115" i="4"/>
  <c r="BI83" i="4"/>
  <c r="BG116" i="4"/>
  <c r="BH88" i="4"/>
  <c r="BH81" i="4"/>
  <c r="BH77" i="4"/>
  <c r="BI76" i="4"/>
  <c r="BH89" i="4"/>
  <c r="BG111" i="4"/>
  <c r="BG118" i="4"/>
  <c r="BH90" i="4"/>
  <c r="BJ44" i="3"/>
  <c r="BE24" i="3"/>
  <c r="BE53" i="3" s="1"/>
  <c r="BE17" i="3"/>
  <c r="BE37" i="3" s="1"/>
  <c r="BE16" i="3"/>
  <c r="BE36" i="3" s="1"/>
  <c r="BE21" i="3"/>
  <c r="BE50" i="3" s="1"/>
  <c r="BE13" i="3"/>
  <c r="BE33" i="3" s="1"/>
  <c r="BE23" i="3"/>
  <c r="BE52" i="3" s="1"/>
  <c r="BE20" i="3"/>
  <c r="BE49" i="3" s="1"/>
  <c r="BE15" i="3"/>
  <c r="BE35" i="3" s="1"/>
  <c r="BE14" i="3"/>
  <c r="BE34" i="3" s="1"/>
  <c r="BE22" i="3"/>
  <c r="BE51" i="3" s="1"/>
  <c r="BF3" i="4"/>
  <c r="BF3" i="6"/>
  <c r="BE5" i="4"/>
  <c r="BE5" i="6"/>
  <c r="BC28" i="3"/>
  <c r="BD32" i="3"/>
  <c r="BD48" i="3"/>
  <c r="BJ40" i="3"/>
  <c r="BJ60" i="3"/>
  <c r="BJ58" i="3"/>
  <c r="BF41" i="3"/>
  <c r="BJ57" i="3"/>
  <c r="BF56" i="3"/>
  <c r="BF5" i="1"/>
  <c r="BE5" i="3"/>
  <c r="BG3" i="1"/>
  <c r="BF3" i="3"/>
  <c r="BG3" i="12" l="1"/>
  <c r="BG4" i="1"/>
  <c r="BF3" i="11"/>
  <c r="BF5" i="12"/>
  <c r="BE5" i="11"/>
  <c r="BF4" i="12"/>
  <c r="BF4" i="3"/>
  <c r="BE4" i="11"/>
  <c r="BF4" i="6"/>
  <c r="BF4" i="4"/>
  <c r="BA10" i="11"/>
  <c r="BA17" i="11" s="1"/>
  <c r="BB11" i="11"/>
  <c r="BB12" i="11"/>
  <c r="BB13" i="11"/>
  <c r="BD38" i="6"/>
  <c r="BD48" i="4"/>
  <c r="BF32" i="6"/>
  <c r="BF76" i="6" s="1"/>
  <c r="BF28" i="6"/>
  <c r="BF72" i="6" s="1"/>
  <c r="BF31" i="6"/>
  <c r="BF75" i="6" s="1"/>
  <c r="BF34" i="6"/>
  <c r="BF78" i="6" s="1"/>
  <c r="BF30" i="6"/>
  <c r="BF74" i="6" s="1"/>
  <c r="BF33" i="6"/>
  <c r="BF77" i="6" s="1"/>
  <c r="BF25" i="6"/>
  <c r="BF69" i="6" s="1"/>
  <c r="BF29" i="6"/>
  <c r="BF73" i="6" s="1"/>
  <c r="BF27" i="6"/>
  <c r="BF71" i="6" s="1"/>
  <c r="BF22" i="6"/>
  <c r="BF52" i="6" s="1"/>
  <c r="BF18" i="6"/>
  <c r="BF48" i="6" s="1"/>
  <c r="BF26" i="6"/>
  <c r="BF70" i="6" s="1"/>
  <c r="BF21" i="6"/>
  <c r="BF51" i="6" s="1"/>
  <c r="BF17" i="6"/>
  <c r="BF47" i="6" s="1"/>
  <c r="BF20" i="6"/>
  <c r="BF50" i="6" s="1"/>
  <c r="BF16" i="6"/>
  <c r="BF46" i="6" s="1"/>
  <c r="BF19" i="6"/>
  <c r="BF49" i="6" s="1"/>
  <c r="BF15" i="6"/>
  <c r="BF45" i="6" s="1"/>
  <c r="BF14" i="6"/>
  <c r="BF44" i="6" s="1"/>
  <c r="BF13" i="6"/>
  <c r="BF43" i="6" s="1"/>
  <c r="BE42" i="6"/>
  <c r="BE68" i="6"/>
  <c r="BI63" i="6"/>
  <c r="BI85" i="6"/>
  <c r="BI88" i="6"/>
  <c r="BI55" i="6"/>
  <c r="BI64" i="6"/>
  <c r="BI62" i="6"/>
  <c r="BI58" i="6"/>
  <c r="BI61" i="6"/>
  <c r="BI82" i="6"/>
  <c r="BI60" i="6"/>
  <c r="BI90" i="6"/>
  <c r="BI59" i="6"/>
  <c r="BI89" i="6"/>
  <c r="BI86" i="6"/>
  <c r="BI87" i="6"/>
  <c r="BI81" i="6"/>
  <c r="BI83" i="6"/>
  <c r="BI57" i="6"/>
  <c r="BI56" i="6"/>
  <c r="BI84" i="6"/>
  <c r="BE98" i="4"/>
  <c r="BJ78" i="4"/>
  <c r="BH120" i="4"/>
  <c r="BI87" i="4"/>
  <c r="BH119" i="4"/>
  <c r="BI94" i="4"/>
  <c r="BI90" i="4"/>
  <c r="BJ76" i="4"/>
  <c r="BH116" i="4"/>
  <c r="BH115" i="4"/>
  <c r="BI86" i="4"/>
  <c r="BI79" i="4"/>
  <c r="BJ84" i="4"/>
  <c r="BH117" i="4"/>
  <c r="BJ93" i="4"/>
  <c r="BI75" i="4"/>
  <c r="BI92" i="4"/>
  <c r="BJ85" i="4"/>
  <c r="BH113" i="4"/>
  <c r="BI80" i="4"/>
  <c r="BH112" i="4"/>
  <c r="BJ91" i="4"/>
  <c r="BH114" i="4"/>
  <c r="BH111" i="4"/>
  <c r="BI81" i="4"/>
  <c r="BE52" i="4"/>
  <c r="BF44" i="4"/>
  <c r="BF108" i="4" s="1"/>
  <c r="BF40" i="4"/>
  <c r="BF104" i="4" s="1"/>
  <c r="BF43" i="4"/>
  <c r="BF107" i="4" s="1"/>
  <c r="BF37" i="4"/>
  <c r="BF101" i="4" s="1"/>
  <c r="BF32" i="4"/>
  <c r="BF72" i="4" s="1"/>
  <c r="BF31" i="4"/>
  <c r="BF71" i="4" s="1"/>
  <c r="BF27" i="4"/>
  <c r="BF67" i="4" s="1"/>
  <c r="BF23" i="4"/>
  <c r="BF63" i="4" s="1"/>
  <c r="BF19" i="4"/>
  <c r="BF59" i="4" s="1"/>
  <c r="BF42" i="4"/>
  <c r="BF106" i="4" s="1"/>
  <c r="BF39" i="4"/>
  <c r="BF103" i="4" s="1"/>
  <c r="BF38" i="4"/>
  <c r="BF102" i="4" s="1"/>
  <c r="BF35" i="4"/>
  <c r="BF99" i="4" s="1"/>
  <c r="BF29" i="4"/>
  <c r="BF69" i="4" s="1"/>
  <c r="BF25" i="4"/>
  <c r="BF65" i="4" s="1"/>
  <c r="BF21" i="4"/>
  <c r="BF61" i="4" s="1"/>
  <c r="BF17" i="4"/>
  <c r="BF57" i="4" s="1"/>
  <c r="BF28" i="4"/>
  <c r="BF68" i="4" s="1"/>
  <c r="BF20" i="4"/>
  <c r="BF60" i="4" s="1"/>
  <c r="BF14" i="4"/>
  <c r="BF54" i="4" s="1"/>
  <c r="BF18" i="4"/>
  <c r="BF58" i="4" s="1"/>
  <c r="BF13" i="4"/>
  <c r="BF53" i="4" s="1"/>
  <c r="BF36" i="4"/>
  <c r="BF100" i="4" s="1"/>
  <c r="BF26" i="4"/>
  <c r="BF66" i="4" s="1"/>
  <c r="BF24" i="4"/>
  <c r="BF64" i="4" s="1"/>
  <c r="BF16" i="4"/>
  <c r="BF56" i="4" s="1"/>
  <c r="BF41" i="4"/>
  <c r="BF105" i="4" s="1"/>
  <c r="BF30" i="4"/>
  <c r="BF70" i="4" s="1"/>
  <c r="BF22" i="4"/>
  <c r="BF62" i="4" s="1"/>
  <c r="BF15" i="4"/>
  <c r="BF55" i="4" s="1"/>
  <c r="BH118" i="4"/>
  <c r="BI89" i="4"/>
  <c r="BI77" i="4"/>
  <c r="BI88" i="4"/>
  <c r="BJ83" i="4"/>
  <c r="BI82" i="4"/>
  <c r="BF23" i="3"/>
  <c r="BF52" i="3" s="1"/>
  <c r="BF16" i="3"/>
  <c r="BF36" i="3" s="1"/>
  <c r="BF20" i="3"/>
  <c r="BF49" i="3" s="1"/>
  <c r="BF17" i="3"/>
  <c r="BF37" i="3" s="1"/>
  <c r="BF15" i="3"/>
  <c r="BF35" i="3" s="1"/>
  <c r="BF14" i="3"/>
  <c r="BF34" i="3" s="1"/>
  <c r="BF21" i="3"/>
  <c r="BF50" i="3" s="1"/>
  <c r="BF24" i="3"/>
  <c r="BF53" i="3" s="1"/>
  <c r="BF22" i="3"/>
  <c r="BF51" i="3" s="1"/>
  <c r="BF13" i="3"/>
  <c r="BF33" i="3" s="1"/>
  <c r="BG3" i="4"/>
  <c r="BG3" i="6"/>
  <c r="BF5" i="4"/>
  <c r="BF5" i="6"/>
  <c r="BD28" i="3"/>
  <c r="BE48" i="3"/>
  <c r="BE32" i="3"/>
  <c r="BG56" i="3"/>
  <c r="BG41" i="3"/>
  <c r="BH3" i="1"/>
  <c r="BI3" i="1" s="1"/>
  <c r="BI4" i="1" s="1"/>
  <c r="BG3" i="3"/>
  <c r="BG5" i="1"/>
  <c r="BF5" i="3"/>
  <c r="BG4" i="12" l="1"/>
  <c r="BF4" i="11"/>
  <c r="BG4" i="6"/>
  <c r="BG4" i="4"/>
  <c r="BG4" i="3"/>
  <c r="BG5" i="12"/>
  <c r="BF5" i="11"/>
  <c r="BH3" i="12"/>
  <c r="BH4" i="1"/>
  <c r="BG3" i="11"/>
  <c r="BB10" i="11"/>
  <c r="BB17" i="11" s="1"/>
  <c r="BC12" i="11"/>
  <c r="BC11" i="11"/>
  <c r="BC13" i="11"/>
  <c r="BE38" i="6"/>
  <c r="BF42" i="6"/>
  <c r="BE48" i="4"/>
  <c r="BF68" i="6"/>
  <c r="BG31" i="6"/>
  <c r="BG75" i="6" s="1"/>
  <c r="BG34" i="6"/>
  <c r="BG78" i="6" s="1"/>
  <c r="BG30" i="6"/>
  <c r="BG74" i="6" s="1"/>
  <c r="BG33" i="6"/>
  <c r="BG77" i="6" s="1"/>
  <c r="BG29" i="6"/>
  <c r="BG73" i="6" s="1"/>
  <c r="BG22" i="6"/>
  <c r="BG52" i="6" s="1"/>
  <c r="BG32" i="6"/>
  <c r="BG76" i="6" s="1"/>
  <c r="BG27" i="6"/>
  <c r="BG71" i="6" s="1"/>
  <c r="BG28" i="6"/>
  <c r="BG72" i="6" s="1"/>
  <c r="BG26" i="6"/>
  <c r="BG70" i="6" s="1"/>
  <c r="BG21" i="6"/>
  <c r="BG51" i="6" s="1"/>
  <c r="BG17" i="6"/>
  <c r="BG47" i="6" s="1"/>
  <c r="BG20" i="6"/>
  <c r="BG50" i="6" s="1"/>
  <c r="BG25" i="6"/>
  <c r="BG69" i="6" s="1"/>
  <c r="BG19" i="6"/>
  <c r="BG49" i="6" s="1"/>
  <c r="BG15" i="6"/>
  <c r="BG45" i="6" s="1"/>
  <c r="BG14" i="6"/>
  <c r="BG44" i="6" s="1"/>
  <c r="BG13" i="6"/>
  <c r="BG43" i="6" s="1"/>
  <c r="BG18" i="6"/>
  <c r="BG48" i="6" s="1"/>
  <c r="BG16" i="6"/>
  <c r="BG46" i="6" s="1"/>
  <c r="BJ84" i="6"/>
  <c r="BJ81" i="6"/>
  <c r="BJ59" i="6"/>
  <c r="BJ61" i="6"/>
  <c r="BJ62" i="6"/>
  <c r="BJ55" i="6"/>
  <c r="BJ57" i="6"/>
  <c r="BJ86" i="6"/>
  <c r="BJ60" i="6"/>
  <c r="BJ85" i="6"/>
  <c r="BJ56" i="6"/>
  <c r="BJ83" i="6"/>
  <c r="BJ87" i="6"/>
  <c r="BJ89" i="6"/>
  <c r="BJ90" i="6"/>
  <c r="BJ82" i="6"/>
  <c r="BJ58" i="6"/>
  <c r="BJ64" i="6"/>
  <c r="BJ88" i="6"/>
  <c r="BJ63" i="6"/>
  <c r="BF98" i="4"/>
  <c r="BJ81" i="4"/>
  <c r="BI114" i="4"/>
  <c r="BI112" i="4"/>
  <c r="BI113" i="4"/>
  <c r="BJ92" i="4"/>
  <c r="BJ86" i="4"/>
  <c r="BI116" i="4"/>
  <c r="BJ90" i="4"/>
  <c r="BI119" i="4"/>
  <c r="BI120" i="4"/>
  <c r="BG43" i="4"/>
  <c r="BG107" i="4" s="1"/>
  <c r="BG39" i="4"/>
  <c r="BG103" i="4" s="1"/>
  <c r="BG42" i="4"/>
  <c r="BG106" i="4" s="1"/>
  <c r="BG41" i="4"/>
  <c r="BG105" i="4" s="1"/>
  <c r="BG36" i="4"/>
  <c r="BG100" i="4" s="1"/>
  <c r="BG30" i="4"/>
  <c r="BG70" i="4" s="1"/>
  <c r="BG26" i="4"/>
  <c r="BG66" i="4" s="1"/>
  <c r="BG22" i="4"/>
  <c r="BG62" i="4" s="1"/>
  <c r="BG18" i="4"/>
  <c r="BG58" i="4" s="1"/>
  <c r="BG44" i="4"/>
  <c r="BG108" i="4" s="1"/>
  <c r="BG28" i="4"/>
  <c r="BG68" i="4" s="1"/>
  <c r="BG24" i="4"/>
  <c r="BG64" i="4" s="1"/>
  <c r="BG20" i="4"/>
  <c r="BG60" i="4" s="1"/>
  <c r="BG16" i="4"/>
  <c r="BG56" i="4" s="1"/>
  <c r="BG40" i="4"/>
  <c r="BG104" i="4" s="1"/>
  <c r="BG31" i="4"/>
  <c r="BG71" i="4" s="1"/>
  <c r="BG23" i="4"/>
  <c r="BG63" i="4" s="1"/>
  <c r="BG13" i="4"/>
  <c r="BG53" i="4" s="1"/>
  <c r="BG25" i="4"/>
  <c r="BG65" i="4" s="1"/>
  <c r="BG29" i="4"/>
  <c r="BG69" i="4" s="1"/>
  <c r="BG21" i="4"/>
  <c r="BG61" i="4" s="1"/>
  <c r="BG17" i="4"/>
  <c r="BG57" i="4" s="1"/>
  <c r="BG37" i="4"/>
  <c r="BG101" i="4" s="1"/>
  <c r="BG32" i="4"/>
  <c r="BG72" i="4" s="1"/>
  <c r="BG27" i="4"/>
  <c r="BG67" i="4" s="1"/>
  <c r="BG19" i="4"/>
  <c r="BG59" i="4" s="1"/>
  <c r="BG15" i="4"/>
  <c r="BG55" i="4" s="1"/>
  <c r="BG38" i="4"/>
  <c r="BG102" i="4" s="1"/>
  <c r="BG35" i="4"/>
  <c r="BG99" i="4" s="1"/>
  <c r="BG14" i="4"/>
  <c r="BG54" i="4" s="1"/>
  <c r="BJ82" i="4"/>
  <c r="BJ88" i="4"/>
  <c r="BJ89" i="4"/>
  <c r="BF52" i="4"/>
  <c r="BI111" i="4"/>
  <c r="BJ80" i="4"/>
  <c r="BJ75" i="4"/>
  <c r="BI117" i="4"/>
  <c r="BJ79" i="4"/>
  <c r="BI115" i="4"/>
  <c r="BJ94" i="4"/>
  <c r="BJ87" i="4"/>
  <c r="BJ77" i="4"/>
  <c r="BI118" i="4"/>
  <c r="BG24" i="3"/>
  <c r="BG53" i="3" s="1"/>
  <c r="BG22" i="3"/>
  <c r="BG51" i="3" s="1"/>
  <c r="BG21" i="3"/>
  <c r="BG50" i="3" s="1"/>
  <c r="BG14" i="3"/>
  <c r="BG34" i="3" s="1"/>
  <c r="BG20" i="3"/>
  <c r="BG49" i="3" s="1"/>
  <c r="BG16" i="3"/>
  <c r="BG36" i="3" s="1"/>
  <c r="BG15" i="3"/>
  <c r="BG35" i="3" s="1"/>
  <c r="BG13" i="3"/>
  <c r="BG33" i="3" s="1"/>
  <c r="BG17" i="3"/>
  <c r="BG37" i="3" s="1"/>
  <c r="BG23" i="3"/>
  <c r="BG52" i="3" s="1"/>
  <c r="BH3" i="6"/>
  <c r="BH3" i="4"/>
  <c r="BG5" i="6"/>
  <c r="BG5" i="4"/>
  <c r="BF48" i="3"/>
  <c r="BF32" i="3"/>
  <c r="BH56" i="3"/>
  <c r="BH41" i="3"/>
  <c r="BE28" i="3"/>
  <c r="BH5" i="1"/>
  <c r="BI5" i="1" s="1"/>
  <c r="BG5" i="3"/>
  <c r="BH3" i="3"/>
  <c r="BF48" i="4" l="1"/>
  <c r="BE12" i="11" s="1"/>
  <c r="BH5" i="12"/>
  <c r="BG5" i="11"/>
  <c r="BI3" i="12"/>
  <c r="BH3" i="11"/>
  <c r="BH4" i="12"/>
  <c r="BG4" i="11"/>
  <c r="BH4" i="6"/>
  <c r="BH4" i="4"/>
  <c r="BH4" i="3"/>
  <c r="BC10" i="11"/>
  <c r="BC17" i="11" s="1"/>
  <c r="BD12" i="11"/>
  <c r="BD11" i="11"/>
  <c r="BD13" i="11"/>
  <c r="BF38" i="6"/>
  <c r="BH34" i="6"/>
  <c r="BH78" i="6" s="1"/>
  <c r="BH30" i="6"/>
  <c r="BH74" i="6" s="1"/>
  <c r="BH33" i="6"/>
  <c r="BH77" i="6" s="1"/>
  <c r="BH29" i="6"/>
  <c r="BH73" i="6" s="1"/>
  <c r="BH32" i="6"/>
  <c r="BH76" i="6" s="1"/>
  <c r="BH28" i="6"/>
  <c r="BH72" i="6" s="1"/>
  <c r="BH27" i="6"/>
  <c r="BH71" i="6" s="1"/>
  <c r="BH21" i="6"/>
  <c r="BH51" i="6" s="1"/>
  <c r="BH26" i="6"/>
  <c r="BH70" i="6" s="1"/>
  <c r="BH31" i="6"/>
  <c r="BH75" i="6" s="1"/>
  <c r="BH25" i="6"/>
  <c r="BH69" i="6" s="1"/>
  <c r="BH20" i="6"/>
  <c r="BH50" i="6" s="1"/>
  <c r="BH16" i="6"/>
  <c r="BH46" i="6" s="1"/>
  <c r="BH19" i="6"/>
  <c r="BH49" i="6" s="1"/>
  <c r="BH18" i="6"/>
  <c r="BH48" i="6" s="1"/>
  <c r="BH15" i="6"/>
  <c r="BH45" i="6" s="1"/>
  <c r="BH13" i="6"/>
  <c r="BH43" i="6" s="1"/>
  <c r="BH22" i="6"/>
  <c r="BH52" i="6" s="1"/>
  <c r="BH14" i="6"/>
  <c r="BH44" i="6" s="1"/>
  <c r="BH17" i="6"/>
  <c r="BH47" i="6" s="1"/>
  <c r="BG42" i="6"/>
  <c r="BG68" i="6"/>
  <c r="BG98" i="4"/>
  <c r="BJ118" i="4"/>
  <c r="BG52" i="4"/>
  <c r="BJ119" i="4"/>
  <c r="BJ116" i="4"/>
  <c r="BJ113" i="4"/>
  <c r="BJ114" i="4"/>
  <c r="BJ120" i="4"/>
  <c r="BJ112" i="4"/>
  <c r="BH42" i="4"/>
  <c r="BH106" i="4" s="1"/>
  <c r="BH38" i="4"/>
  <c r="BH102" i="4" s="1"/>
  <c r="BH41" i="4"/>
  <c r="BH105" i="4" s="1"/>
  <c r="BH44" i="4"/>
  <c r="BH108" i="4" s="1"/>
  <c r="BH35" i="4"/>
  <c r="BH99" i="4" s="1"/>
  <c r="BH29" i="4"/>
  <c r="BH69" i="4" s="1"/>
  <c r="BH25" i="4"/>
  <c r="BH65" i="4" s="1"/>
  <c r="BH21" i="4"/>
  <c r="BH61" i="4" s="1"/>
  <c r="BH17" i="4"/>
  <c r="BH57" i="4" s="1"/>
  <c r="BH40" i="4"/>
  <c r="BH104" i="4" s="1"/>
  <c r="BH37" i="4"/>
  <c r="BH101" i="4" s="1"/>
  <c r="BH32" i="4"/>
  <c r="BH72" i="4" s="1"/>
  <c r="BH31" i="4"/>
  <c r="BH71" i="4" s="1"/>
  <c r="BH27" i="4"/>
  <c r="BH67" i="4" s="1"/>
  <c r="BH23" i="4"/>
  <c r="BH63" i="4" s="1"/>
  <c r="BH19" i="4"/>
  <c r="BH59" i="4" s="1"/>
  <c r="BH15" i="4"/>
  <c r="BH55" i="4" s="1"/>
  <c r="BH36" i="4"/>
  <c r="BH100" i="4" s="1"/>
  <c r="BH26" i="4"/>
  <c r="BH66" i="4" s="1"/>
  <c r="BH18" i="4"/>
  <c r="BH58" i="4" s="1"/>
  <c r="BH20" i="4"/>
  <c r="BH60" i="4" s="1"/>
  <c r="BH24" i="4"/>
  <c r="BH64" i="4" s="1"/>
  <c r="BH16" i="4"/>
  <c r="BH56" i="4" s="1"/>
  <c r="BH43" i="4"/>
  <c r="BH107" i="4" s="1"/>
  <c r="BH30" i="4"/>
  <c r="BH70" i="4" s="1"/>
  <c r="BH22" i="4"/>
  <c r="BH62" i="4" s="1"/>
  <c r="BH14" i="4"/>
  <c r="BH54" i="4" s="1"/>
  <c r="BH39" i="4"/>
  <c r="BH103" i="4" s="1"/>
  <c r="BH28" i="4"/>
  <c r="BH68" i="4" s="1"/>
  <c r="BH13" i="4"/>
  <c r="BH53" i="4" s="1"/>
  <c r="BJ115" i="4"/>
  <c r="BJ117" i="4"/>
  <c r="BJ111" i="4"/>
  <c r="BG32" i="3"/>
  <c r="BH23" i="3"/>
  <c r="BH52" i="3" s="1"/>
  <c r="BH21" i="3"/>
  <c r="BH50" i="3" s="1"/>
  <c r="BH20" i="3"/>
  <c r="BH49" i="3" s="1"/>
  <c r="BH22" i="3"/>
  <c r="BH51" i="3" s="1"/>
  <c r="BH24" i="3"/>
  <c r="BH53" i="3" s="1"/>
  <c r="BH15" i="3"/>
  <c r="BH35" i="3" s="1"/>
  <c r="BH14" i="3"/>
  <c r="BH34" i="3" s="1"/>
  <c r="BH17" i="3"/>
  <c r="BH37" i="3" s="1"/>
  <c r="BH16" i="3"/>
  <c r="BH36" i="3" s="1"/>
  <c r="BH13" i="3"/>
  <c r="BH33" i="3" s="1"/>
  <c r="BH5" i="4"/>
  <c r="BH5" i="6"/>
  <c r="BI3" i="4"/>
  <c r="BI3" i="6"/>
  <c r="BF28" i="3"/>
  <c r="BI56" i="3"/>
  <c r="BI41" i="3"/>
  <c r="BG48" i="3"/>
  <c r="BJ3" i="1"/>
  <c r="BI3" i="3"/>
  <c r="BH5" i="3"/>
  <c r="BI4" i="12" l="1"/>
  <c r="BH4" i="11"/>
  <c r="BI4" i="6"/>
  <c r="BI4" i="4"/>
  <c r="BI4" i="3"/>
  <c r="BI5" i="12"/>
  <c r="BH5" i="11"/>
  <c r="BJ3" i="12"/>
  <c r="BJ4" i="1"/>
  <c r="BI3" i="11"/>
  <c r="BD10" i="11"/>
  <c r="BD17" i="11" s="1"/>
  <c r="BE13" i="11"/>
  <c r="BE11" i="11"/>
  <c r="BG38" i="6"/>
  <c r="BG48" i="4"/>
  <c r="BI33" i="6"/>
  <c r="BI77" i="6" s="1"/>
  <c r="BI29" i="6"/>
  <c r="BI73" i="6" s="1"/>
  <c r="BI32" i="6"/>
  <c r="BI76" i="6" s="1"/>
  <c r="BI31" i="6"/>
  <c r="BI75" i="6" s="1"/>
  <c r="BI26" i="6"/>
  <c r="BI70" i="6" s="1"/>
  <c r="BI28" i="6"/>
  <c r="BI72" i="6" s="1"/>
  <c r="BI25" i="6"/>
  <c r="BI69" i="6" s="1"/>
  <c r="BI34" i="6"/>
  <c r="BI78" i="6" s="1"/>
  <c r="BI22" i="6"/>
  <c r="BI52" i="6" s="1"/>
  <c r="BI19" i="6"/>
  <c r="BI49" i="6" s="1"/>
  <c r="BI15" i="6"/>
  <c r="BI45" i="6" s="1"/>
  <c r="BI18" i="6"/>
  <c r="BI48" i="6" s="1"/>
  <c r="BI17" i="6"/>
  <c r="BI47" i="6" s="1"/>
  <c r="BI21" i="6"/>
  <c r="BI51" i="6" s="1"/>
  <c r="BI20" i="6"/>
  <c r="BI50" i="6" s="1"/>
  <c r="BI30" i="6"/>
  <c r="BI74" i="6" s="1"/>
  <c r="BI16" i="6"/>
  <c r="BI46" i="6" s="1"/>
  <c r="BI27" i="6"/>
  <c r="BI71" i="6" s="1"/>
  <c r="BI14" i="6"/>
  <c r="BI44" i="6" s="1"/>
  <c r="BI13" i="6"/>
  <c r="BI43" i="6" s="1"/>
  <c r="BH68" i="6"/>
  <c r="BH42" i="6"/>
  <c r="BH98" i="4"/>
  <c r="BH52" i="4"/>
  <c r="BI41" i="4"/>
  <c r="BI105" i="4" s="1"/>
  <c r="BI44" i="4"/>
  <c r="BI108" i="4" s="1"/>
  <c r="BI40" i="4"/>
  <c r="BI104" i="4" s="1"/>
  <c r="BI43" i="4"/>
  <c r="BI107" i="4" s="1"/>
  <c r="BI39" i="4"/>
  <c r="BI103" i="4" s="1"/>
  <c r="BI38" i="4"/>
  <c r="BI102" i="4" s="1"/>
  <c r="BI28" i="4"/>
  <c r="BI68" i="4" s="1"/>
  <c r="BI24" i="4"/>
  <c r="BI64" i="4" s="1"/>
  <c r="BI20" i="4"/>
  <c r="BI60" i="4" s="1"/>
  <c r="BI16" i="4"/>
  <c r="BI56" i="4" s="1"/>
  <c r="BI36" i="4"/>
  <c r="BI100" i="4" s="1"/>
  <c r="BI30" i="4"/>
  <c r="BI70" i="4" s="1"/>
  <c r="BI26" i="4"/>
  <c r="BI66" i="4" s="1"/>
  <c r="BI22" i="4"/>
  <c r="BI62" i="4" s="1"/>
  <c r="BI18" i="4"/>
  <c r="BI58" i="4" s="1"/>
  <c r="BI29" i="4"/>
  <c r="BI69" i="4" s="1"/>
  <c r="BI21" i="4"/>
  <c r="BI61" i="4" s="1"/>
  <c r="BI15" i="4"/>
  <c r="BI55" i="4" s="1"/>
  <c r="BI42" i="4"/>
  <c r="BI106" i="4" s="1"/>
  <c r="BI37" i="4"/>
  <c r="BI101" i="4" s="1"/>
  <c r="BI32" i="4"/>
  <c r="BI72" i="4" s="1"/>
  <c r="BI27" i="4"/>
  <c r="BI67" i="4" s="1"/>
  <c r="BI19" i="4"/>
  <c r="BI59" i="4" s="1"/>
  <c r="BI14" i="4"/>
  <c r="BI54" i="4" s="1"/>
  <c r="BI35" i="4"/>
  <c r="BI99" i="4" s="1"/>
  <c r="BI25" i="4"/>
  <c r="BI65" i="4" s="1"/>
  <c r="BI17" i="4"/>
  <c r="BI57" i="4" s="1"/>
  <c r="BI13" i="4"/>
  <c r="BI53" i="4" s="1"/>
  <c r="BI31" i="4"/>
  <c r="BI71" i="4" s="1"/>
  <c r="BI23" i="4"/>
  <c r="BI63" i="4" s="1"/>
  <c r="BG28" i="3"/>
  <c r="BI24" i="3"/>
  <c r="BI53" i="3" s="1"/>
  <c r="BI17" i="3"/>
  <c r="BI37" i="3" s="1"/>
  <c r="BI23" i="3"/>
  <c r="BI52" i="3" s="1"/>
  <c r="BI22" i="3"/>
  <c r="BI51" i="3" s="1"/>
  <c r="BI21" i="3"/>
  <c r="BI50" i="3" s="1"/>
  <c r="BI15" i="3"/>
  <c r="BI35" i="3" s="1"/>
  <c r="BI13" i="3"/>
  <c r="BI33" i="3" s="1"/>
  <c r="BI20" i="3"/>
  <c r="BI49" i="3" s="1"/>
  <c r="BI16" i="3"/>
  <c r="BI36" i="3" s="1"/>
  <c r="BI14" i="3"/>
  <c r="BI34" i="3" s="1"/>
  <c r="BJ3" i="3"/>
  <c r="BJ3" i="4"/>
  <c r="BJ3" i="6"/>
  <c r="BI5" i="4"/>
  <c r="BI5" i="6"/>
  <c r="BH32" i="3"/>
  <c r="BJ41" i="3"/>
  <c r="BH48" i="3"/>
  <c r="BJ56" i="3"/>
  <c r="BJ5" i="1"/>
  <c r="BI5" i="3"/>
  <c r="F17" i="12" l="1"/>
  <c r="F36" i="12"/>
  <c r="I42" i="12" s="1"/>
  <c r="BJ5" i="12"/>
  <c r="BI5" i="11"/>
  <c r="BJ4" i="12"/>
  <c r="BJ4" i="3"/>
  <c r="BJ4" i="6"/>
  <c r="BJ4" i="4"/>
  <c r="BI4" i="11"/>
  <c r="BE10" i="11"/>
  <c r="BE17" i="11" s="1"/>
  <c r="BF11" i="11"/>
  <c r="BF13" i="11"/>
  <c r="BF12" i="11"/>
  <c r="BH38" i="6"/>
  <c r="BI42" i="6"/>
  <c r="BH48" i="4"/>
  <c r="BJ32" i="6"/>
  <c r="BJ76" i="6" s="1"/>
  <c r="BJ28" i="6"/>
  <c r="BJ72" i="6" s="1"/>
  <c r="BJ31" i="6"/>
  <c r="BJ75" i="6" s="1"/>
  <c r="BJ34" i="6"/>
  <c r="BJ78" i="6" s="1"/>
  <c r="BJ30" i="6"/>
  <c r="BJ74" i="6" s="1"/>
  <c r="BJ29" i="6"/>
  <c r="BJ73" i="6" s="1"/>
  <c r="BJ25" i="6"/>
  <c r="BJ69" i="6" s="1"/>
  <c r="BJ27" i="6"/>
  <c r="BJ71" i="6" s="1"/>
  <c r="BJ26" i="6"/>
  <c r="BJ70" i="6" s="1"/>
  <c r="BJ18" i="6"/>
  <c r="BJ48" i="6" s="1"/>
  <c r="BJ33" i="6"/>
  <c r="BJ77" i="6" s="1"/>
  <c r="BJ17" i="6"/>
  <c r="BJ47" i="6" s="1"/>
  <c r="BJ22" i="6"/>
  <c r="BJ52" i="6" s="1"/>
  <c r="BJ21" i="6"/>
  <c r="BJ51" i="6" s="1"/>
  <c r="BJ20" i="6"/>
  <c r="BJ50" i="6" s="1"/>
  <c r="BJ16" i="6"/>
  <c r="BJ46" i="6" s="1"/>
  <c r="BJ19" i="6"/>
  <c r="BJ49" i="6" s="1"/>
  <c r="BJ15" i="6"/>
  <c r="BJ45" i="6" s="1"/>
  <c r="BJ14" i="6"/>
  <c r="BJ44" i="6" s="1"/>
  <c r="BJ13" i="6"/>
  <c r="BJ43" i="6" s="1"/>
  <c r="BI68" i="6"/>
  <c r="BI98" i="4"/>
  <c r="BI52" i="4"/>
  <c r="BJ44" i="4"/>
  <c r="BJ108" i="4" s="1"/>
  <c r="BJ40" i="4"/>
  <c r="BJ104" i="4" s="1"/>
  <c r="BJ43" i="4"/>
  <c r="BJ107" i="4" s="1"/>
  <c r="BJ42" i="4"/>
  <c r="BJ106" i="4" s="1"/>
  <c r="BJ37" i="4"/>
  <c r="BJ101" i="4" s="1"/>
  <c r="BJ32" i="4"/>
  <c r="BJ72" i="4" s="1"/>
  <c r="BJ31" i="4"/>
  <c r="BJ71" i="4" s="1"/>
  <c r="BJ27" i="4"/>
  <c r="BJ67" i="4" s="1"/>
  <c r="BJ23" i="4"/>
  <c r="BJ63" i="4" s="1"/>
  <c r="BJ19" i="4"/>
  <c r="BJ59" i="4" s="1"/>
  <c r="BJ35" i="4"/>
  <c r="BJ99" i="4" s="1"/>
  <c r="BJ29" i="4"/>
  <c r="BJ69" i="4" s="1"/>
  <c r="BJ25" i="4"/>
  <c r="BJ65" i="4" s="1"/>
  <c r="BJ21" i="4"/>
  <c r="BJ61" i="4" s="1"/>
  <c r="BJ17" i="4"/>
  <c r="BJ57" i="4" s="1"/>
  <c r="BJ24" i="4"/>
  <c r="BJ64" i="4" s="1"/>
  <c r="BJ16" i="4"/>
  <c r="BJ56" i="4" s="1"/>
  <c r="BJ15" i="4"/>
  <c r="BJ55" i="4" s="1"/>
  <c r="BJ14" i="4"/>
  <c r="BJ54" i="4" s="1"/>
  <c r="BJ13" i="4"/>
  <c r="BJ53" i="4" s="1"/>
  <c r="BJ30" i="4"/>
  <c r="BJ70" i="4" s="1"/>
  <c r="BJ22" i="4"/>
  <c r="BJ62" i="4" s="1"/>
  <c r="BJ18" i="4"/>
  <c r="BJ58" i="4" s="1"/>
  <c r="BJ41" i="4"/>
  <c r="BJ105" i="4" s="1"/>
  <c r="BJ39" i="4"/>
  <c r="BJ103" i="4" s="1"/>
  <c r="BJ38" i="4"/>
  <c r="BJ102" i="4" s="1"/>
  <c r="BJ28" i="4"/>
  <c r="BJ68" i="4" s="1"/>
  <c r="BJ20" i="4"/>
  <c r="BJ60" i="4" s="1"/>
  <c r="BJ36" i="4"/>
  <c r="BJ100" i="4" s="1"/>
  <c r="BJ26" i="4"/>
  <c r="BJ66" i="4" s="1"/>
  <c r="BJ23" i="3"/>
  <c r="BJ52" i="3" s="1"/>
  <c r="BJ16" i="3"/>
  <c r="BJ36" i="3" s="1"/>
  <c r="BJ24" i="3"/>
  <c r="BJ53" i="3" s="1"/>
  <c r="BJ15" i="3"/>
  <c r="BJ35" i="3" s="1"/>
  <c r="BJ17" i="3"/>
  <c r="BJ37" i="3" s="1"/>
  <c r="BJ20" i="3"/>
  <c r="BJ49" i="3" s="1"/>
  <c r="BJ22" i="3"/>
  <c r="BJ51" i="3" s="1"/>
  <c r="BJ21" i="3"/>
  <c r="BJ50" i="3" s="1"/>
  <c r="BJ14" i="3"/>
  <c r="BJ34" i="3" s="1"/>
  <c r="BJ13" i="3"/>
  <c r="BJ33" i="3" s="1"/>
  <c r="BJ5" i="3"/>
  <c r="BJ5" i="6"/>
  <c r="BJ5" i="4"/>
  <c r="BH28" i="3"/>
  <c r="BI32" i="3"/>
  <c r="BI48" i="3"/>
  <c r="F33" i="12" l="1"/>
  <c r="F18" i="12"/>
  <c r="BF10" i="11"/>
  <c r="BF17" i="11" s="1"/>
  <c r="BG12" i="11"/>
  <c r="BG11" i="11"/>
  <c r="BG13" i="11"/>
  <c r="BI48" i="4"/>
  <c r="BI38" i="6"/>
  <c r="BJ42" i="6"/>
  <c r="BJ68" i="6"/>
  <c r="BJ98" i="4"/>
  <c r="BJ52" i="4"/>
  <c r="BJ48" i="3"/>
  <c r="BJ32" i="3"/>
  <c r="BI28" i="3"/>
  <c r="I43" i="12" l="1"/>
  <c r="K43" i="12" s="1"/>
  <c r="F34" i="12"/>
  <c r="BG10" i="11"/>
  <c r="BG17" i="11" s="1"/>
  <c r="BH11" i="11"/>
  <c r="BH12" i="11"/>
  <c r="BH13" i="11"/>
  <c r="BJ48" i="4"/>
  <c r="BJ38" i="6"/>
  <c r="BJ28" i="3"/>
  <c r="Z43" i="12" l="1"/>
  <c r="W43" i="12"/>
  <c r="U43" i="12"/>
  <c r="AL43" i="12"/>
  <c r="AQ43" i="12"/>
  <c r="BA43" i="12"/>
  <c r="AZ43" i="12"/>
  <c r="BG43" i="12"/>
  <c r="AV43" i="12"/>
  <c r="S43" i="12"/>
  <c r="BH43" i="12"/>
  <c r="AX43" i="12"/>
  <c r="AI43" i="12"/>
  <c r="BI43" i="12"/>
  <c r="AW43" i="12"/>
  <c r="AG43" i="12"/>
  <c r="O43" i="12"/>
  <c r="BC43" i="12"/>
  <c r="AF43" i="12"/>
  <c r="AD43" i="12"/>
  <c r="L43" i="12"/>
  <c r="AS43" i="12"/>
  <c r="AO43" i="12"/>
  <c r="R43" i="12"/>
  <c r="AE43" i="12"/>
  <c r="AA43" i="12"/>
  <c r="BF43" i="12"/>
  <c r="V43" i="12"/>
  <c r="P43" i="12"/>
  <c r="M43" i="12"/>
  <c r="Y43" i="12"/>
  <c r="AM43" i="12"/>
  <c r="AN43" i="12"/>
  <c r="T43" i="12"/>
  <c r="BB43" i="12"/>
  <c r="BJ43" i="12"/>
  <c r="AY43" i="12"/>
  <c r="AR43" i="12"/>
  <c r="AP43" i="12"/>
  <c r="BE43" i="12"/>
  <c r="N43" i="12"/>
  <c r="AH43" i="12"/>
  <c r="AU43" i="12"/>
  <c r="Q43" i="12"/>
  <c r="AK43" i="12"/>
  <c r="X43" i="12"/>
  <c r="AC43" i="12"/>
  <c r="AT43" i="12"/>
  <c r="J43" i="12"/>
  <c r="J42" i="12" s="1"/>
  <c r="K42" i="12" s="1"/>
  <c r="AB43" i="12"/>
  <c r="AJ43" i="12"/>
  <c r="BD43" i="12"/>
  <c r="AN44" i="12"/>
  <c r="AZ44" i="12"/>
  <c r="AC44" i="12"/>
  <c r="N44" i="12"/>
  <c r="AF44" i="12"/>
  <c r="K44" i="12"/>
  <c r="W44" i="12"/>
  <c r="AY44" i="12"/>
  <c r="AD44" i="12"/>
  <c r="AP44" i="12"/>
  <c r="AU44" i="12"/>
  <c r="BH44" i="12"/>
  <c r="BE44" i="12"/>
  <c r="J44" i="12"/>
  <c r="BB44" i="12"/>
  <c r="M44" i="12"/>
  <c r="AX44" i="12"/>
  <c r="Q44" i="12"/>
  <c r="AA44" i="12"/>
  <c r="AM44" i="12"/>
  <c r="P44" i="12"/>
  <c r="AB44" i="12"/>
  <c r="AT44" i="12"/>
  <c r="BF44" i="12"/>
  <c r="AR44" i="12"/>
  <c r="AO44" i="12"/>
  <c r="U44" i="12"/>
  <c r="AG44" i="12"/>
  <c r="BI44" i="12"/>
  <c r="BD44" i="12"/>
  <c r="AS44" i="12"/>
  <c r="X44" i="12"/>
  <c r="AH44" i="12"/>
  <c r="BJ44" i="12"/>
  <c r="O44" i="12"/>
  <c r="Y44" i="12"/>
  <c r="R44" i="12"/>
  <c r="BC44" i="12"/>
  <c r="AK44" i="12"/>
  <c r="AW44" i="12"/>
  <c r="V44" i="12"/>
  <c r="AQ44" i="12"/>
  <c r="BG44" i="12"/>
  <c r="T44" i="12"/>
  <c r="AV44" i="12"/>
  <c r="Z44" i="12"/>
  <c r="L44" i="12"/>
  <c r="BA44" i="12"/>
  <c r="AL44" i="12"/>
  <c r="AE44" i="12"/>
  <c r="AJ44" i="12"/>
  <c r="S44" i="12"/>
  <c r="AI44" i="12"/>
  <c r="BH10" i="11"/>
  <c r="BH17" i="11" s="1"/>
  <c r="BI11" i="11"/>
  <c r="BI13" i="11"/>
  <c r="BI12" i="11"/>
  <c r="L42" i="12" l="1"/>
  <c r="M42" i="12" s="1"/>
  <c r="N42" i="12" s="1"/>
  <c r="O42" i="12" s="1"/>
  <c r="P42" i="12" s="1"/>
  <c r="Q42" i="12" s="1"/>
  <c r="R42" i="12" s="1"/>
  <c r="S42" i="12" s="1"/>
  <c r="T42" i="12" s="1"/>
  <c r="U42" i="12" s="1"/>
  <c r="V42" i="12" s="1"/>
  <c r="W42" i="12" s="1"/>
  <c r="X42" i="12" s="1"/>
  <c r="Y42" i="12" s="1"/>
  <c r="Z42" i="12" s="1"/>
  <c r="AA42" i="12" s="1"/>
  <c r="AB42" i="12" s="1"/>
  <c r="AC42" i="12" s="1"/>
  <c r="AD42" i="12" s="1"/>
  <c r="AE42" i="12" s="1"/>
  <c r="AF42" i="12" s="1"/>
  <c r="AG42" i="12" s="1"/>
  <c r="AH42" i="12" s="1"/>
  <c r="AI42" i="12" s="1"/>
  <c r="AJ42" i="12" s="1"/>
  <c r="AK42" i="12" s="1"/>
  <c r="AL42" i="12" s="1"/>
  <c r="AM42" i="12" s="1"/>
  <c r="AN42" i="12" s="1"/>
  <c r="AO42" i="12" s="1"/>
  <c r="AP42" i="12" s="1"/>
  <c r="AQ42" i="12" s="1"/>
  <c r="AR42" i="12" s="1"/>
  <c r="AS42" i="12" s="1"/>
  <c r="AT42" i="12" s="1"/>
  <c r="AU42" i="12" s="1"/>
  <c r="AV42" i="12" s="1"/>
  <c r="AW42" i="12" s="1"/>
  <c r="AX42" i="12" s="1"/>
  <c r="AY42" i="12" s="1"/>
  <c r="AZ42" i="12" s="1"/>
  <c r="BA42" i="12" s="1"/>
  <c r="BB42" i="12" s="1"/>
  <c r="BC42" i="12" s="1"/>
  <c r="BD42" i="12" s="1"/>
  <c r="BE42" i="12" s="1"/>
  <c r="BF42" i="12" s="1"/>
  <c r="BG42" i="12" s="1"/>
  <c r="BH42" i="12" s="1"/>
  <c r="BI42" i="12" s="1"/>
  <c r="BJ42" i="12" s="1"/>
  <c r="BI10" i="11"/>
  <c r="BI17" i="11" s="1"/>
  <c r="F15" i="12" s="1"/>
  <c r="F31" i="12" l="1"/>
  <c r="I45" i="12" s="1"/>
  <c r="J41" i="12" s="1"/>
  <c r="J45" i="12" s="1"/>
  <c r="K41" i="12" s="1"/>
  <c r="K45" i="12" s="1"/>
  <c r="L41" i="12" s="1"/>
  <c r="L45" i="12" s="1"/>
  <c r="M41" i="12" s="1"/>
  <c r="F19" i="12"/>
  <c r="F20" i="12" s="1"/>
  <c r="F21" i="12" s="1"/>
  <c r="M45" i="12" l="1"/>
  <c r="N41" i="12" s="1"/>
  <c r="N45" i="12" s="1"/>
  <c r="O41" i="12" s="1"/>
  <c r="O45" i="12" s="1"/>
  <c r="P41" i="12" s="1"/>
  <c r="P45" i="12" s="1"/>
  <c r="Q41" i="12" l="1"/>
  <c r="Q45" i="12" s="1"/>
  <c r="R41" i="12" l="1"/>
  <c r="R45" i="12" s="1"/>
  <c r="S41" i="12" s="1"/>
  <c r="S45" i="12" s="1"/>
  <c r="T41" i="12" l="1"/>
  <c r="T45" i="12" l="1"/>
  <c r="U41" i="12" s="1"/>
  <c r="U45" i="12" l="1"/>
  <c r="V41" i="12" s="1"/>
  <c r="V45" i="12" l="1"/>
  <c r="W41" i="12" s="1"/>
  <c r="W45" i="12" l="1"/>
  <c r="X41" i="12" s="1"/>
  <c r="X45" i="12" l="1"/>
  <c r="Y41" i="12" s="1"/>
  <c r="Y45" i="12" l="1"/>
  <c r="Z41" i="12" s="1"/>
  <c r="Z45" i="12" l="1"/>
  <c r="AA41" i="12" s="1"/>
  <c r="AA45" i="12" s="1"/>
  <c r="AB41" i="12" s="1"/>
  <c r="AB45" i="12" s="1"/>
  <c r="AC41" i="12" s="1"/>
  <c r="AC45" i="12" s="1"/>
  <c r="AD41" i="12" s="1"/>
  <c r="AD45" i="12" s="1"/>
  <c r="AE41" i="12" s="1"/>
  <c r="AE45" i="12" s="1"/>
  <c r="AF41" i="12" s="1"/>
  <c r="AF45" i="12" s="1"/>
  <c r="AG41" i="12" s="1"/>
  <c r="AG45" i="12" s="1"/>
  <c r="AH41" i="12" s="1"/>
  <c r="AH45" i="12" s="1"/>
  <c r="AI41" i="12" l="1"/>
  <c r="AI45" i="12" s="1"/>
  <c r="AJ41" i="12" l="1"/>
  <c r="AJ45" i="12" s="1"/>
  <c r="AK41" i="12" l="1"/>
  <c r="AK45" i="12" s="1"/>
  <c r="AL41" i="12" l="1"/>
  <c r="AL45" i="12" s="1"/>
  <c r="AM41" i="12" l="1"/>
  <c r="AM45" i="12" s="1"/>
  <c r="AN41" i="12" l="1"/>
  <c r="AN45" i="12" s="1"/>
  <c r="AO41" i="12" l="1"/>
  <c r="AO45" i="12" s="1"/>
  <c r="AP41" i="12" l="1"/>
  <c r="AP45" i="12" s="1"/>
  <c r="AQ41" i="12" l="1"/>
  <c r="AQ45" i="12" s="1"/>
  <c r="AR41" i="12" l="1"/>
  <c r="AR45" i="12" s="1"/>
  <c r="AS41" i="12" l="1"/>
  <c r="AS45" i="12" s="1"/>
  <c r="AT41" i="12" l="1"/>
  <c r="AT45" i="12" s="1"/>
  <c r="AU41" i="12" l="1"/>
  <c r="AU45" i="12" s="1"/>
  <c r="AV41" i="12" l="1"/>
  <c r="AV45" i="12" s="1"/>
  <c r="AW41" i="12" l="1"/>
  <c r="AW45" i="12" s="1"/>
  <c r="AX41" i="12" l="1"/>
  <c r="AX45" i="12" s="1"/>
  <c r="AY41" i="12" l="1"/>
  <c r="AY45" i="12" s="1"/>
  <c r="AZ41" i="12" l="1"/>
  <c r="AZ45" i="12" s="1"/>
  <c r="BA41" i="12" l="1"/>
  <c r="BA45" i="12" s="1"/>
  <c r="BB41" i="12" l="1"/>
  <c r="BB45" i="12" s="1"/>
  <c r="BC41" i="12" l="1"/>
  <c r="BC45" i="12" s="1"/>
  <c r="BD41" i="12" l="1"/>
  <c r="BD45" i="12" s="1"/>
  <c r="BE41" i="12" l="1"/>
  <c r="BE45" i="12" s="1"/>
  <c r="BF41" i="12" l="1"/>
  <c r="BF45" i="12" s="1"/>
  <c r="BG41" i="12" l="1"/>
  <c r="BG45" i="12" s="1"/>
  <c r="BH41" i="12" l="1"/>
  <c r="BH45" i="12" s="1"/>
  <c r="BI41" i="12" l="1"/>
  <c r="BI45" i="12" s="1"/>
  <c r="BJ41" i="12" l="1"/>
  <c r="BJ45" i="12" s="1"/>
  <c r="F37" i="12" l="1"/>
  <c r="F38" i="12" s="1"/>
</calcChain>
</file>

<file path=xl/sharedStrings.xml><?xml version="1.0" encoding="utf-8"?>
<sst xmlns="http://schemas.openxmlformats.org/spreadsheetml/2006/main" count="596" uniqueCount="132">
  <si>
    <t>Дата начала</t>
  </si>
  <si>
    <t>Доходы</t>
  </si>
  <si>
    <t>Технические</t>
  </si>
  <si>
    <t>Месяцев в году</t>
  </si>
  <si>
    <t>%</t>
  </si>
  <si>
    <t>Ежемесячный доход 5</t>
  </si>
  <si>
    <t>Ежемесячные доходы</t>
  </si>
  <si>
    <t>Ежегодные доходы</t>
  </si>
  <si>
    <t>Ежегодный доход 5</t>
  </si>
  <si>
    <t>Темп роста ежемесячных доходов</t>
  </si>
  <si>
    <t>Темп роста ежегодных доходов</t>
  </si>
  <si>
    <t>Темп роста ежемесячных расходов</t>
  </si>
  <si>
    <t>Расходы</t>
  </si>
  <si>
    <t>Всего доходы</t>
  </si>
  <si>
    <t>Ежемесячные расходы</t>
  </si>
  <si>
    <t>Ежегодный расход 9</t>
  </si>
  <si>
    <t>Ежегодный расход 10</t>
  </si>
  <si>
    <t>Ежегодные расходы</t>
  </si>
  <si>
    <t>Темп роста ежегодных расходов</t>
  </si>
  <si>
    <t>Ежемесячный расход 19</t>
  </si>
  <si>
    <t>Ежемесячный расход 20</t>
  </si>
  <si>
    <t>Инфляция</t>
  </si>
  <si>
    <t>x</t>
  </si>
  <si>
    <t>год</t>
  </si>
  <si>
    <t>Расходы на цели</t>
  </si>
  <si>
    <t>Флаги</t>
  </si>
  <si>
    <t>Темп роста расходов на цели</t>
  </si>
  <si>
    <t>Ежемесячные расходы на цели</t>
  </si>
  <si>
    <t>Ежегодные расходы на цели</t>
  </si>
  <si>
    <t>Ежемесячный расход на цели 10</t>
  </si>
  <si>
    <t>Ежемесячный расход на цели 5</t>
  </si>
  <si>
    <t>Ежемесячный расход на цели 6</t>
  </si>
  <si>
    <t>Ежемесячный расход на цели 7</t>
  </si>
  <si>
    <t>Ежемесячный расход на цели 8</t>
  </si>
  <si>
    <t>Ежемесячный расход на цели 9</t>
  </si>
  <si>
    <t xml:space="preserve"> </t>
  </si>
  <si>
    <t>Флаги получения дохода</t>
  </si>
  <si>
    <t>флаг</t>
  </si>
  <si>
    <t>Период получения доходов</t>
  </si>
  <si>
    <t>Флаги понесения расходов</t>
  </si>
  <si>
    <t>Период понесения расходов</t>
  </si>
  <si>
    <t>Период понесения расходов на цели</t>
  </si>
  <si>
    <t>Доход</t>
  </si>
  <si>
    <t>Расход</t>
  </si>
  <si>
    <t>Ежемесячный</t>
  </si>
  <si>
    <t>Ежегодный</t>
  </si>
  <si>
    <t>Всего</t>
  </si>
  <si>
    <t>Всего расходы</t>
  </si>
  <si>
    <t>Всего расходы на цели</t>
  </si>
  <si>
    <t>Сбережения</t>
  </si>
  <si>
    <t>Доходность на инвестированный капитал</t>
  </si>
  <si>
    <t>Накопления</t>
  </si>
  <si>
    <t>Ежегодный расход на цели 2</t>
  </si>
  <si>
    <t>Ежегодный расход на цели 3</t>
  </si>
  <si>
    <t>Ежегодный расход на цели 4</t>
  </si>
  <si>
    <t>Ежегодный расход на цели 5</t>
  </si>
  <si>
    <t>Ежегодный расход на цели 6</t>
  </si>
  <si>
    <t>Ежегодный расход на цели 7</t>
  </si>
  <si>
    <t>Ежегодный расход на цели 8</t>
  </si>
  <si>
    <t>Ежегодный расход на цели 9</t>
  </si>
  <si>
    <t>Ежегодный расход на цели 10</t>
  </si>
  <si>
    <t>Год</t>
  </si>
  <si>
    <t>№ периода</t>
  </si>
  <si>
    <t>Возраст</t>
  </si>
  <si>
    <t>Год рождения</t>
  </si>
  <si>
    <t>Пенсия</t>
  </si>
  <si>
    <t>Пенсионный план</t>
  </si>
  <si>
    <t>Год выхода на пенсию</t>
  </si>
  <si>
    <t>Возраст выхода на пенсию</t>
  </si>
  <si>
    <t>лет</t>
  </si>
  <si>
    <t>Возрат выхода на пенсию</t>
  </si>
  <si>
    <t>Текущий возраст</t>
  </si>
  <si>
    <t>Желаемый уровень расходов в текущих ценах</t>
  </si>
  <si>
    <t>Сумма накоплений в год выхода на пенсию</t>
  </si>
  <si>
    <t>Доходность</t>
  </si>
  <si>
    <t>Средняя инфляция</t>
  </si>
  <si>
    <t>Реальная доходность</t>
  </si>
  <si>
    <t>Доход доступный для трат</t>
  </si>
  <si>
    <t>Доход доступный для трат в текущем выражении</t>
  </si>
  <si>
    <t>Коэффициент приведения</t>
  </si>
  <si>
    <t>Вариант расходования всей суммы накоплений</t>
  </si>
  <si>
    <t>Вариант расходования процентов от накоплений</t>
  </si>
  <si>
    <t>Накопления н.п.</t>
  </si>
  <si>
    <t>Желаемый уровень расхода</t>
  </si>
  <si>
    <t>Желаемый уровень расхода в выражении года выхода на пенсию</t>
  </si>
  <si>
    <t>Накопления к.п.</t>
  </si>
  <si>
    <t>Возраст полного израсходования накоплений</t>
  </si>
  <si>
    <t>Количество пенсионных лет</t>
  </si>
  <si>
    <t>Ежегодный доход 2</t>
  </si>
  <si>
    <t>Ежегодный доход 3</t>
  </si>
  <si>
    <t>Ежегодный доход 4</t>
  </si>
  <si>
    <t>Ежемесячный расход на цели 3</t>
  </si>
  <si>
    <t>Ежемесячный расход на цели 4</t>
  </si>
  <si>
    <t>Доход доступный для трат в текущем выражении в месяц</t>
  </si>
  <si>
    <t>Прочее</t>
  </si>
  <si>
    <t>Ежемесячный расход 9</t>
  </si>
  <si>
    <t>Ежемесячный расход 10</t>
  </si>
  <si>
    <t>Ежемесячный расход 11</t>
  </si>
  <si>
    <t>Ежемесячный расход 12</t>
  </si>
  <si>
    <t>Ежемесячный расход 13</t>
  </si>
  <si>
    <t>Ежемесячный расход 14</t>
  </si>
  <si>
    <t>Ежемесячный расход 15</t>
  </si>
  <si>
    <t>Ежемесячный расход 16</t>
  </si>
  <si>
    <t>Ежемесячный расход 17</t>
  </si>
  <si>
    <t>Ежемесячный расход 18</t>
  </si>
  <si>
    <t>Ежемесячный расход на цели 1</t>
  </si>
  <si>
    <t>Ежемесячный расход на цели 2</t>
  </si>
  <si>
    <t>Подарки</t>
  </si>
  <si>
    <t>USD / мес.</t>
  </si>
  <si>
    <t>Ежегодный доход 1</t>
  </si>
  <si>
    <t>USD / год</t>
  </si>
  <si>
    <t>Еда</t>
  </si>
  <si>
    <t>Няня</t>
  </si>
  <si>
    <t>Ипотека</t>
  </si>
  <si>
    <t>Аренда квартиры + коммуналка</t>
  </si>
  <si>
    <t>Связь + интернет</t>
  </si>
  <si>
    <t>Страховка</t>
  </si>
  <si>
    <t>Детский сад / школа</t>
  </si>
  <si>
    <t>Страховка по ипотеке</t>
  </si>
  <si>
    <t>Отпуск</t>
  </si>
  <si>
    <t xml:space="preserve">Долг 2 млн </t>
  </si>
  <si>
    <t>Долг за квартиру</t>
  </si>
  <si>
    <t>Ежегодный расход 8</t>
  </si>
  <si>
    <t>Командировки</t>
  </si>
  <si>
    <t>USD</t>
  </si>
  <si>
    <t>Ежемесячный доход 4</t>
  </si>
  <si>
    <t>Income 1</t>
  </si>
  <si>
    <t>Income 2</t>
  </si>
  <si>
    <t>Садик</t>
  </si>
  <si>
    <t>Income 3</t>
  </si>
  <si>
    <t>Баланс на текущий год</t>
  </si>
  <si>
    <t>Отдых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</si>
</sst>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\-"/>
    <numFmt numFmtId="165" formatCode="0.0%;\(0.0%\);\-"/>
    <numFmt numFmtId="166" formatCode="0.0%"/>
    <numFmt numFmtId="167" formatCode="###0;\(###0\);\-"/>
    <numFmt numFmtId="168" formatCode="#,##0.000;\(#,##0.000\);\-"/>
    <numFmt numFmtId="169" formatCode="0.0"/>
  </numFmts>
  <fonts count="6" x14ac:knownFonts="1">
    <font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9"/>
      <color theme="0"/>
      <name val="Arial"/>
      <family val="2"/>
      <charset val="204"/>
    </font>
    <font>
      <i/>
      <sz val="8"/>
      <color theme="1"/>
      <name val="Arial"/>
      <family val="2"/>
      <charset val="204"/>
    </font>
    <font>
      <sz val="8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darkUp"/>
    </fill>
    <fill>
      <patternFill patternType="solid">
        <fgColor theme="5" tint="0.79998168889431442"/>
        <bgColor indexed="64"/>
      </patternFill>
    </fill>
    <fill>
      <patternFill patternType="solid">
        <fgColor rgb="FFFCE4D6"/>
        <bgColor indexed="64"/>
      </patternFill>
    </fill>
  </fills>
  <borders count="1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/>
      <right/>
      <top style="thin">
        <color theme="9" tint="-0.499984740745262"/>
      </top>
      <bottom/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/>
      <bottom/>
      <diagonal/>
    </border>
    <border>
      <left/>
      <right style="thin">
        <color theme="9" tint="-0.499984740745262"/>
      </right>
      <top/>
      <bottom/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double">
        <color theme="9" tint="-0.499984740745262"/>
      </bottom>
      <diagonal/>
    </border>
    <border>
      <left/>
      <right/>
      <top/>
      <bottom style="double">
        <color theme="9" tint="-0.499984740745262"/>
      </bottom>
      <diagonal/>
    </border>
    <border>
      <left/>
      <right style="thin">
        <color theme="9" tint="-0.499984740745262"/>
      </right>
      <top/>
      <bottom style="double">
        <color theme="9" tint="-0.499984740745262"/>
      </bottom>
      <diagonal/>
    </border>
  </borders>
  <cellStyleXfs count="11">
    <xf numFmtId="0" fontId="0" fillId="0" borderId="0"/>
    <xf numFmtId="0" fontId="3" fillId="2" borderId="0"/>
    <xf numFmtId="0" fontId="2" fillId="3" borderId="0"/>
    <xf numFmtId="164" fontId="1" fillId="0" borderId="1">
      <alignment horizontal="right"/>
    </xf>
    <xf numFmtId="164" fontId="1" fillId="3" borderId="1">
      <alignment horizontal="right"/>
    </xf>
    <xf numFmtId="165" fontId="4" fillId="0" borderId="1">
      <alignment horizontal="right"/>
    </xf>
    <xf numFmtId="165" fontId="4" fillId="3" borderId="1">
      <alignment horizontal="right"/>
    </xf>
    <xf numFmtId="164" fontId="2" fillId="0" borderId="2">
      <alignment horizontal="right"/>
    </xf>
    <xf numFmtId="49" fontId="1" fillId="3" borderId="1">
      <alignment horizontal="left"/>
    </xf>
    <xf numFmtId="0" fontId="1" fillId="5" borderId="0"/>
    <xf numFmtId="49" fontId="2" fillId="0" borderId="1">
      <alignment horizontal="left"/>
    </xf>
  </cellStyleXfs>
  <cellXfs count="53">
    <xf numFmtId="0" fontId="0" fillId="0" borderId="0" xfId="0"/>
    <xf numFmtId="0" fontId="3" fillId="2" borderId="0" xfId="1"/>
    <xf numFmtId="0" fontId="2" fillId="3" borderId="0" xfId="2"/>
    <xf numFmtId="164" fontId="1" fillId="0" borderId="1" xfId="3">
      <alignment horizontal="right"/>
    </xf>
    <xf numFmtId="164" fontId="1" fillId="3" borderId="1" xfId="4">
      <alignment horizontal="right"/>
    </xf>
    <xf numFmtId="165" fontId="4" fillId="0" borderId="1" xfId="5">
      <alignment horizontal="right"/>
    </xf>
    <xf numFmtId="165" fontId="4" fillId="3" borderId="1" xfId="6">
      <alignment horizontal="right"/>
    </xf>
    <xf numFmtId="164" fontId="2" fillId="0" borderId="2" xfId="7">
      <alignment horizontal="right"/>
    </xf>
    <xf numFmtId="0" fontId="2" fillId="0" borderId="0" xfId="0" applyFont="1"/>
    <xf numFmtId="0" fontId="0" fillId="0" borderId="0" xfId="0" applyAlignment="1">
      <alignment horizontal="left" indent="1"/>
    </xf>
    <xf numFmtId="49" fontId="1" fillId="3" borderId="1" xfId="8" applyAlignment="1">
      <alignment horizontal="left" indent="1"/>
    </xf>
    <xf numFmtId="49" fontId="0" fillId="0" borderId="0" xfId="0" applyNumberFormat="1" applyAlignment="1">
      <alignment horizontal="left" indent="1"/>
    </xf>
    <xf numFmtId="0" fontId="0" fillId="0" borderId="0" xfId="0" applyAlignment="1">
      <alignment horizontal="center"/>
    </xf>
    <xf numFmtId="0" fontId="3" fillId="2" borderId="0" xfId="1" applyAlignment="1">
      <alignment horizontal="center"/>
    </xf>
    <xf numFmtId="0" fontId="2" fillId="3" borderId="0" xfId="2" applyAlignment="1">
      <alignment horizontal="center"/>
    </xf>
    <xf numFmtId="0" fontId="2" fillId="0" borderId="0" xfId="0" applyFont="1" applyAlignment="1">
      <alignment horizontal="center"/>
    </xf>
    <xf numFmtId="164" fontId="1" fillId="4" borderId="1" xfId="4" applyFill="1">
      <alignment horizontal="right"/>
    </xf>
    <xf numFmtId="0" fontId="1" fillId="3" borderId="1" xfId="8" applyNumberFormat="1" applyAlignment="1">
      <alignment horizontal="right"/>
    </xf>
    <xf numFmtId="0" fontId="1" fillId="4" borderId="1" xfId="8" applyNumberFormat="1" applyFill="1" applyAlignment="1">
      <alignment horizontal="right"/>
    </xf>
    <xf numFmtId="0" fontId="1" fillId="5" borderId="0" xfId="9"/>
    <xf numFmtId="164" fontId="1" fillId="6" borderId="1" xfId="3" applyFill="1">
      <alignment horizontal="right"/>
    </xf>
    <xf numFmtId="165" fontId="4" fillId="6" borderId="1" xfId="5" applyFill="1">
      <alignment horizontal="right"/>
    </xf>
    <xf numFmtId="164" fontId="1" fillId="7" borderId="1" xfId="3" applyFill="1">
      <alignment horizontal="right"/>
    </xf>
    <xf numFmtId="165" fontId="4" fillId="7" borderId="1" xfId="5" applyFill="1">
      <alignment horizontal="right"/>
    </xf>
    <xf numFmtId="164" fontId="2" fillId="7" borderId="2" xfId="7" applyFill="1">
      <alignment horizontal="right"/>
    </xf>
    <xf numFmtId="164" fontId="0" fillId="0" borderId="8" xfId="0" applyNumberFormat="1" applyBorder="1" applyAlignment="1">
      <alignment horizontal="left"/>
    </xf>
    <xf numFmtId="164" fontId="0" fillId="0" borderId="9" xfId="0" applyNumberFormat="1" applyBorder="1" applyAlignment="1">
      <alignment horizontal="right"/>
    </xf>
    <xf numFmtId="164" fontId="0" fillId="0" borderId="10" xfId="0" applyNumberFormat="1" applyBorder="1" applyAlignment="1">
      <alignment horizontal="right"/>
    </xf>
    <xf numFmtId="0" fontId="2" fillId="0" borderId="6" xfId="0" applyFont="1" applyBorder="1" applyAlignment="1">
      <alignment horizontal="left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right"/>
    </xf>
    <xf numFmtId="164" fontId="2" fillId="0" borderId="14" xfId="0" applyNumberFormat="1" applyFont="1" applyBorder="1" applyAlignment="1">
      <alignment horizontal="left"/>
    </xf>
    <xf numFmtId="164" fontId="2" fillId="0" borderId="16" xfId="0" applyNumberFormat="1" applyFont="1" applyBorder="1" applyAlignment="1">
      <alignment horizontal="right"/>
    </xf>
    <xf numFmtId="164" fontId="2" fillId="0" borderId="15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166" fontId="0" fillId="0" borderId="0" xfId="0" applyNumberFormat="1"/>
    <xf numFmtId="168" fontId="1" fillId="0" borderId="1" xfId="3" applyNumberFormat="1">
      <alignment horizontal="right"/>
    </xf>
    <xf numFmtId="164" fontId="2" fillId="0" borderId="1" xfId="3" applyFont="1">
      <alignment horizontal="right"/>
    </xf>
    <xf numFmtId="167" fontId="2" fillId="0" borderId="1" xfId="3" applyNumberFormat="1" applyFont="1">
      <alignment horizontal="right"/>
    </xf>
    <xf numFmtId="167" fontId="2" fillId="6" borderId="1" xfId="3" applyNumberFormat="1" applyFont="1" applyFill="1">
      <alignment horizontal="right"/>
    </xf>
    <xf numFmtId="3" fontId="0" fillId="0" borderId="0" xfId="0" applyNumberFormat="1"/>
    <xf numFmtId="49" fontId="2" fillId="0" borderId="1" xfId="8" applyFont="1" applyFill="1">
      <alignment horizontal="left"/>
    </xf>
    <xf numFmtId="165" fontId="4" fillId="4" borderId="1" xfId="6" applyFill="1">
      <alignment horizontal="right"/>
    </xf>
    <xf numFmtId="0" fontId="3" fillId="2" borderId="11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9" fontId="2" fillId="3" borderId="0" xfId="2" applyNumberFormat="1"/>
  </cellXfs>
  <cellStyles count="11">
    <cellStyle name="1 000" xfId="3" xr:uid="{00000000-0005-0000-0000-000000000000}"/>
    <cellStyle name="1 000 Input" xfId="4" xr:uid="{00000000-0005-0000-0000-000001000000}"/>
    <cellStyle name="1 000 Total" xfId="7" xr:uid="{00000000-0005-0000-0000-000002000000}"/>
    <cellStyle name="1,0%" xfId="5" xr:uid="{00000000-0005-0000-0000-000003000000}"/>
    <cellStyle name="1,0% Input" xfId="6" xr:uid="{00000000-0005-0000-0000-000004000000}"/>
    <cellStyle name="Heading" xfId="10" xr:uid="{54835647-6BFD-4E12-B1CD-56F96675FF3F}"/>
    <cellStyle name="Normal" xfId="0" builtinId="0"/>
    <cellStyle name="Style 1" xfId="9" xr:uid="{D5FD8FA9-139F-46C9-B4A4-FB992CFDBA41}"/>
    <cellStyle name="Text Inputs" xfId="8" xr:uid="{00000000-0005-0000-0000-000006000000}"/>
    <cellStyle name="Заголовок" xfId="1" xr:uid="{00000000-0005-0000-0000-000007000000}"/>
    <cellStyle name="Подзаголовок" xfId="2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M258"/>
  <sheetViews>
    <sheetView showGridLines="0" tabSelected="1" zoomScale="150" zoomScaleNormal="150" workbookViewId="0">
      <pane xSplit="7" ySplit="6" topLeftCell="H16" activePane="bottomRight" state="frozen"/>
      <selection activeCell="E10" sqref="E10"/>
      <selection pane="topRight" activeCell="E10" sqref="E10"/>
      <selection pane="bottomLeft" activeCell="E10" sqref="E10"/>
      <selection pane="bottomRight" activeCell="J36" sqref="J36:M41"/>
    </sheetView>
  </sheetViews>
  <sheetFormatPr baseColWidth="10" defaultColWidth="0" defaultRowHeight="11" x14ac:dyDescent="0.15"/>
  <cols>
    <col min="1" max="1" width="2.75" customWidth="1"/>
    <col min="2" max="2" width="3.75" customWidth="1"/>
    <col min="3" max="3" width="4.5" customWidth="1"/>
    <col min="4" max="4" width="40.75" customWidth="1"/>
    <col min="5" max="5" width="12" style="12" customWidth="1"/>
    <col min="6" max="6" width="11.75" customWidth="1"/>
    <col min="7" max="7" width="9" customWidth="1"/>
    <col min="8" max="8" width="2.75" customWidth="1"/>
    <col min="9" max="62" width="10.75" customWidth="1"/>
    <col min="63" max="63" width="9" customWidth="1"/>
    <col min="64" max="65" width="0" hidden="1" customWidth="1"/>
    <col min="66" max="16384" width="9" hidden="1"/>
  </cols>
  <sheetData>
    <row r="3" spans="2:62" x14ac:dyDescent="0.15">
      <c r="D3" s="8" t="s">
        <v>61</v>
      </c>
      <c r="J3" s="8">
        <f>F10</f>
        <v>2024</v>
      </c>
      <c r="K3" s="8">
        <f>J3+1</f>
        <v>2025</v>
      </c>
      <c r="L3" s="8">
        <f t="shared" ref="L3:BJ3" si="0">K3+1</f>
        <v>2026</v>
      </c>
      <c r="M3" s="8">
        <f t="shared" si="0"/>
        <v>2027</v>
      </c>
      <c r="N3" s="8">
        <f t="shared" si="0"/>
        <v>2028</v>
      </c>
      <c r="O3" s="8">
        <f t="shared" si="0"/>
        <v>2029</v>
      </c>
      <c r="P3" s="8">
        <f t="shared" si="0"/>
        <v>2030</v>
      </c>
      <c r="Q3" s="8">
        <f t="shared" si="0"/>
        <v>2031</v>
      </c>
      <c r="R3" s="8">
        <f t="shared" si="0"/>
        <v>2032</v>
      </c>
      <c r="S3" s="8">
        <f t="shared" si="0"/>
        <v>2033</v>
      </c>
      <c r="T3" s="8">
        <f t="shared" si="0"/>
        <v>2034</v>
      </c>
      <c r="U3" s="8">
        <f t="shared" si="0"/>
        <v>2035</v>
      </c>
      <c r="V3" s="8">
        <f t="shared" si="0"/>
        <v>2036</v>
      </c>
      <c r="W3" s="8">
        <f t="shared" si="0"/>
        <v>2037</v>
      </c>
      <c r="X3" s="8">
        <f t="shared" si="0"/>
        <v>2038</v>
      </c>
      <c r="Y3" s="8">
        <f t="shared" si="0"/>
        <v>2039</v>
      </c>
      <c r="Z3" s="8">
        <f t="shared" si="0"/>
        <v>2040</v>
      </c>
      <c r="AA3" s="8">
        <f t="shared" si="0"/>
        <v>2041</v>
      </c>
      <c r="AB3" s="8">
        <f t="shared" si="0"/>
        <v>2042</v>
      </c>
      <c r="AC3" s="8">
        <f t="shared" si="0"/>
        <v>2043</v>
      </c>
      <c r="AD3" s="8">
        <f t="shared" si="0"/>
        <v>2044</v>
      </c>
      <c r="AE3" s="8">
        <f t="shared" si="0"/>
        <v>2045</v>
      </c>
      <c r="AF3" s="8">
        <f t="shared" si="0"/>
        <v>2046</v>
      </c>
      <c r="AG3" s="8">
        <f t="shared" si="0"/>
        <v>2047</v>
      </c>
      <c r="AH3" s="8">
        <f t="shared" si="0"/>
        <v>2048</v>
      </c>
      <c r="AI3" s="8">
        <f t="shared" si="0"/>
        <v>2049</v>
      </c>
      <c r="AJ3" s="8">
        <f t="shared" si="0"/>
        <v>2050</v>
      </c>
      <c r="AK3" s="8">
        <f t="shared" si="0"/>
        <v>2051</v>
      </c>
      <c r="AL3" s="8">
        <f t="shared" si="0"/>
        <v>2052</v>
      </c>
      <c r="AM3" s="8">
        <f t="shared" si="0"/>
        <v>2053</v>
      </c>
      <c r="AN3" s="8">
        <f t="shared" si="0"/>
        <v>2054</v>
      </c>
      <c r="AO3" s="8">
        <f t="shared" si="0"/>
        <v>2055</v>
      </c>
      <c r="AP3" s="8">
        <f t="shared" si="0"/>
        <v>2056</v>
      </c>
      <c r="AQ3" s="8">
        <f t="shared" si="0"/>
        <v>2057</v>
      </c>
      <c r="AR3" s="8">
        <f t="shared" si="0"/>
        <v>2058</v>
      </c>
      <c r="AS3" s="8">
        <f t="shared" si="0"/>
        <v>2059</v>
      </c>
      <c r="AT3" s="8">
        <f t="shared" si="0"/>
        <v>2060</v>
      </c>
      <c r="AU3" s="8">
        <f t="shared" si="0"/>
        <v>2061</v>
      </c>
      <c r="AV3" s="8">
        <f t="shared" si="0"/>
        <v>2062</v>
      </c>
      <c r="AW3" s="8">
        <f t="shared" si="0"/>
        <v>2063</v>
      </c>
      <c r="AX3" s="8">
        <f t="shared" si="0"/>
        <v>2064</v>
      </c>
      <c r="AY3" s="8">
        <f t="shared" si="0"/>
        <v>2065</v>
      </c>
      <c r="AZ3" s="8">
        <f t="shared" si="0"/>
        <v>2066</v>
      </c>
      <c r="BA3" s="8">
        <f t="shared" si="0"/>
        <v>2067</v>
      </c>
      <c r="BB3" s="8">
        <f t="shared" si="0"/>
        <v>2068</v>
      </c>
      <c r="BC3" s="8">
        <f t="shared" si="0"/>
        <v>2069</v>
      </c>
      <c r="BD3" s="8">
        <f t="shared" si="0"/>
        <v>2070</v>
      </c>
      <c r="BE3" s="8">
        <f t="shared" si="0"/>
        <v>2071</v>
      </c>
      <c r="BF3" s="8">
        <f t="shared" si="0"/>
        <v>2072</v>
      </c>
      <c r="BG3" s="8">
        <f t="shared" si="0"/>
        <v>2073</v>
      </c>
      <c r="BH3" s="8">
        <f t="shared" si="0"/>
        <v>2074</v>
      </c>
      <c r="BI3" s="8">
        <f>BH3+1</f>
        <v>2075</v>
      </c>
      <c r="BJ3" s="8">
        <f t="shared" si="0"/>
        <v>2076</v>
      </c>
    </row>
    <row r="4" spans="2:62" x14ac:dyDescent="0.15">
      <c r="D4" t="s">
        <v>63</v>
      </c>
      <c r="J4">
        <f t="shared" ref="J4:AO4" si="1">J3 - $F$11</f>
        <v>31</v>
      </c>
      <c r="K4">
        <f t="shared" si="1"/>
        <v>32</v>
      </c>
      <c r="L4">
        <f t="shared" si="1"/>
        <v>33</v>
      </c>
      <c r="M4">
        <f t="shared" si="1"/>
        <v>34</v>
      </c>
      <c r="N4">
        <f t="shared" si="1"/>
        <v>35</v>
      </c>
      <c r="O4">
        <f t="shared" si="1"/>
        <v>36</v>
      </c>
      <c r="P4">
        <f t="shared" si="1"/>
        <v>37</v>
      </c>
      <c r="Q4">
        <f t="shared" si="1"/>
        <v>38</v>
      </c>
      <c r="R4">
        <f t="shared" si="1"/>
        <v>39</v>
      </c>
      <c r="S4">
        <f t="shared" si="1"/>
        <v>40</v>
      </c>
      <c r="T4">
        <f t="shared" si="1"/>
        <v>41</v>
      </c>
      <c r="U4">
        <f t="shared" si="1"/>
        <v>42</v>
      </c>
      <c r="V4">
        <f t="shared" si="1"/>
        <v>43</v>
      </c>
      <c r="W4">
        <f t="shared" si="1"/>
        <v>44</v>
      </c>
      <c r="X4">
        <f t="shared" si="1"/>
        <v>45</v>
      </c>
      <c r="Y4">
        <f t="shared" si="1"/>
        <v>46</v>
      </c>
      <c r="Z4">
        <f t="shared" si="1"/>
        <v>47</v>
      </c>
      <c r="AA4">
        <f t="shared" si="1"/>
        <v>48</v>
      </c>
      <c r="AB4">
        <f t="shared" si="1"/>
        <v>49</v>
      </c>
      <c r="AC4">
        <f t="shared" si="1"/>
        <v>50</v>
      </c>
      <c r="AD4">
        <f t="shared" si="1"/>
        <v>51</v>
      </c>
      <c r="AE4">
        <f t="shared" si="1"/>
        <v>52</v>
      </c>
      <c r="AF4">
        <f t="shared" si="1"/>
        <v>53</v>
      </c>
      <c r="AG4">
        <f t="shared" si="1"/>
        <v>54</v>
      </c>
      <c r="AH4">
        <f t="shared" si="1"/>
        <v>55</v>
      </c>
      <c r="AI4">
        <f t="shared" si="1"/>
        <v>56</v>
      </c>
      <c r="AJ4">
        <f t="shared" si="1"/>
        <v>57</v>
      </c>
      <c r="AK4">
        <f t="shared" si="1"/>
        <v>58</v>
      </c>
      <c r="AL4">
        <f t="shared" si="1"/>
        <v>59</v>
      </c>
      <c r="AM4">
        <f t="shared" si="1"/>
        <v>60</v>
      </c>
      <c r="AN4">
        <f t="shared" si="1"/>
        <v>61</v>
      </c>
      <c r="AO4">
        <f t="shared" si="1"/>
        <v>62</v>
      </c>
      <c r="AP4">
        <f t="shared" ref="AP4:BJ4" si="2">AP3 - $F$11</f>
        <v>63</v>
      </c>
      <c r="AQ4">
        <f t="shared" si="2"/>
        <v>64</v>
      </c>
      <c r="AR4">
        <f t="shared" si="2"/>
        <v>65</v>
      </c>
      <c r="AS4">
        <f t="shared" si="2"/>
        <v>66</v>
      </c>
      <c r="AT4">
        <f t="shared" si="2"/>
        <v>67</v>
      </c>
      <c r="AU4">
        <f t="shared" si="2"/>
        <v>68</v>
      </c>
      <c r="AV4">
        <f t="shared" si="2"/>
        <v>69</v>
      </c>
      <c r="AW4">
        <f t="shared" si="2"/>
        <v>70</v>
      </c>
      <c r="AX4">
        <f t="shared" si="2"/>
        <v>71</v>
      </c>
      <c r="AY4">
        <f t="shared" si="2"/>
        <v>72</v>
      </c>
      <c r="AZ4">
        <f t="shared" si="2"/>
        <v>73</v>
      </c>
      <c r="BA4">
        <f t="shared" si="2"/>
        <v>74</v>
      </c>
      <c r="BB4">
        <f t="shared" si="2"/>
        <v>75</v>
      </c>
      <c r="BC4">
        <f t="shared" si="2"/>
        <v>76</v>
      </c>
      <c r="BD4">
        <f t="shared" si="2"/>
        <v>77</v>
      </c>
      <c r="BE4">
        <f t="shared" si="2"/>
        <v>78</v>
      </c>
      <c r="BF4">
        <f t="shared" si="2"/>
        <v>79</v>
      </c>
      <c r="BG4">
        <f t="shared" si="2"/>
        <v>80</v>
      </c>
      <c r="BH4">
        <f t="shared" si="2"/>
        <v>81</v>
      </c>
      <c r="BI4">
        <f t="shared" si="2"/>
        <v>82</v>
      </c>
      <c r="BJ4">
        <f t="shared" si="2"/>
        <v>83</v>
      </c>
    </row>
    <row r="5" spans="2:62" x14ac:dyDescent="0.15">
      <c r="D5" t="s">
        <v>62</v>
      </c>
      <c r="J5">
        <f>IF( J$3 = $F$10, 1, H$5 + 1 )</f>
        <v>1</v>
      </c>
      <c r="K5">
        <f t="shared" ref="K5:AP5" si="3">IF( K$3 = $F$10, 0, J$5 + 1 )</f>
        <v>2</v>
      </c>
      <c r="L5">
        <f t="shared" si="3"/>
        <v>3</v>
      </c>
      <c r="M5">
        <f t="shared" si="3"/>
        <v>4</v>
      </c>
      <c r="N5">
        <f t="shared" si="3"/>
        <v>5</v>
      </c>
      <c r="O5">
        <f t="shared" si="3"/>
        <v>6</v>
      </c>
      <c r="P5">
        <f t="shared" si="3"/>
        <v>7</v>
      </c>
      <c r="Q5">
        <f t="shared" si="3"/>
        <v>8</v>
      </c>
      <c r="R5">
        <f t="shared" si="3"/>
        <v>9</v>
      </c>
      <c r="S5">
        <f t="shared" si="3"/>
        <v>10</v>
      </c>
      <c r="T5">
        <f t="shared" si="3"/>
        <v>11</v>
      </c>
      <c r="U5">
        <f t="shared" si="3"/>
        <v>12</v>
      </c>
      <c r="V5">
        <f t="shared" si="3"/>
        <v>13</v>
      </c>
      <c r="W5">
        <f t="shared" si="3"/>
        <v>14</v>
      </c>
      <c r="X5">
        <f t="shared" si="3"/>
        <v>15</v>
      </c>
      <c r="Y5">
        <f t="shared" si="3"/>
        <v>16</v>
      </c>
      <c r="Z5">
        <f t="shared" si="3"/>
        <v>17</v>
      </c>
      <c r="AA5">
        <f t="shared" si="3"/>
        <v>18</v>
      </c>
      <c r="AB5">
        <f t="shared" si="3"/>
        <v>19</v>
      </c>
      <c r="AC5">
        <f t="shared" si="3"/>
        <v>20</v>
      </c>
      <c r="AD5">
        <f t="shared" si="3"/>
        <v>21</v>
      </c>
      <c r="AE5">
        <f t="shared" si="3"/>
        <v>22</v>
      </c>
      <c r="AF5">
        <f t="shared" si="3"/>
        <v>23</v>
      </c>
      <c r="AG5">
        <f t="shared" si="3"/>
        <v>24</v>
      </c>
      <c r="AH5">
        <f t="shared" si="3"/>
        <v>25</v>
      </c>
      <c r="AI5">
        <f t="shared" si="3"/>
        <v>26</v>
      </c>
      <c r="AJ5">
        <f t="shared" si="3"/>
        <v>27</v>
      </c>
      <c r="AK5">
        <f t="shared" si="3"/>
        <v>28</v>
      </c>
      <c r="AL5">
        <f t="shared" si="3"/>
        <v>29</v>
      </c>
      <c r="AM5">
        <f t="shared" si="3"/>
        <v>30</v>
      </c>
      <c r="AN5">
        <f t="shared" si="3"/>
        <v>31</v>
      </c>
      <c r="AO5">
        <f t="shared" si="3"/>
        <v>32</v>
      </c>
      <c r="AP5">
        <f t="shared" si="3"/>
        <v>33</v>
      </c>
      <c r="AQ5">
        <f t="shared" ref="AQ5:BJ5" si="4">IF( AQ$3 = $F$10, 0, AP$5 + 1 )</f>
        <v>34</v>
      </c>
      <c r="AR5">
        <f t="shared" si="4"/>
        <v>35</v>
      </c>
      <c r="AS5">
        <f t="shared" si="4"/>
        <v>36</v>
      </c>
      <c r="AT5">
        <f t="shared" si="4"/>
        <v>37</v>
      </c>
      <c r="AU5">
        <f t="shared" si="4"/>
        <v>38</v>
      </c>
      <c r="AV5">
        <f t="shared" si="4"/>
        <v>39</v>
      </c>
      <c r="AW5">
        <f t="shared" si="4"/>
        <v>40</v>
      </c>
      <c r="AX5">
        <f t="shared" si="4"/>
        <v>41</v>
      </c>
      <c r="AY5">
        <f t="shared" si="4"/>
        <v>42</v>
      </c>
      <c r="AZ5">
        <f t="shared" si="4"/>
        <v>43</v>
      </c>
      <c r="BA5">
        <f t="shared" si="4"/>
        <v>44</v>
      </c>
      <c r="BB5">
        <f t="shared" si="4"/>
        <v>45</v>
      </c>
      <c r="BC5">
        <f t="shared" si="4"/>
        <v>46</v>
      </c>
      <c r="BD5">
        <f t="shared" si="4"/>
        <v>47</v>
      </c>
      <c r="BE5">
        <f t="shared" si="4"/>
        <v>48</v>
      </c>
      <c r="BF5">
        <f t="shared" si="4"/>
        <v>49</v>
      </c>
      <c r="BG5">
        <f t="shared" si="4"/>
        <v>50</v>
      </c>
      <c r="BH5">
        <f t="shared" si="4"/>
        <v>51</v>
      </c>
      <c r="BI5">
        <f t="shared" si="4"/>
        <v>52</v>
      </c>
      <c r="BJ5">
        <f t="shared" si="4"/>
        <v>53</v>
      </c>
    </row>
    <row r="8" spans="2:62" ht="12" x14ac:dyDescent="0.15">
      <c r="B8" s="1">
        <f>MAX( $B$7:B7 ) + 1</f>
        <v>1</v>
      </c>
      <c r="C8" s="1"/>
      <c r="D8" s="1" t="s">
        <v>2</v>
      </c>
      <c r="E8" s="1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</row>
    <row r="10" spans="2:62" x14ac:dyDescent="0.15">
      <c r="D10" t="s">
        <v>0</v>
      </c>
      <c r="E10" s="12" t="s">
        <v>23</v>
      </c>
      <c r="F10" s="17">
        <v>2024</v>
      </c>
    </row>
    <row r="11" spans="2:62" x14ac:dyDescent="0.15">
      <c r="D11" t="s">
        <v>64</v>
      </c>
      <c r="E11" s="12" t="s">
        <v>23</v>
      </c>
      <c r="F11" s="17">
        <v>1993</v>
      </c>
    </row>
    <row r="12" spans="2:62" x14ac:dyDescent="0.15">
      <c r="D12" t="s">
        <v>3</v>
      </c>
      <c r="E12" s="12" t="s">
        <v>22</v>
      </c>
      <c r="F12" s="18">
        <v>12</v>
      </c>
    </row>
    <row r="14" spans="2:62" x14ac:dyDescent="0.15">
      <c r="C14" t="s">
        <v>35</v>
      </c>
      <c r="D14" t="s">
        <v>21</v>
      </c>
      <c r="E14" s="12" t="s">
        <v>4</v>
      </c>
      <c r="J14" s="6">
        <v>0.05</v>
      </c>
      <c r="K14" s="6">
        <v>0.03</v>
      </c>
      <c r="L14" s="6">
        <v>0.03</v>
      </c>
      <c r="M14" s="6">
        <v>0.03</v>
      </c>
      <c r="N14" s="6">
        <v>0.03</v>
      </c>
      <c r="O14" s="6">
        <v>0.03</v>
      </c>
      <c r="P14" s="6">
        <v>0.03</v>
      </c>
      <c r="Q14" s="6">
        <v>0.03</v>
      </c>
      <c r="R14" s="6">
        <v>0.03</v>
      </c>
      <c r="S14" s="6">
        <v>0.03</v>
      </c>
      <c r="T14" s="6">
        <v>0.03</v>
      </c>
      <c r="U14" s="6">
        <v>0.03</v>
      </c>
      <c r="V14" s="6">
        <v>0.03</v>
      </c>
      <c r="W14" s="6">
        <v>0.03</v>
      </c>
      <c r="X14" s="6">
        <v>0.03</v>
      </c>
      <c r="Y14" s="6">
        <v>0.03</v>
      </c>
      <c r="Z14" s="6">
        <v>0.03</v>
      </c>
      <c r="AA14" s="6">
        <v>0.03</v>
      </c>
      <c r="AB14" s="6">
        <v>0.03</v>
      </c>
      <c r="AC14" s="6">
        <v>0.03</v>
      </c>
      <c r="AD14" s="6">
        <v>0.03</v>
      </c>
      <c r="AE14" s="6">
        <v>0.03</v>
      </c>
      <c r="AF14" s="6">
        <v>0.03</v>
      </c>
      <c r="AG14" s="6">
        <v>0.03</v>
      </c>
      <c r="AH14" s="6">
        <v>0.03</v>
      </c>
      <c r="AI14" s="6">
        <v>0.03</v>
      </c>
      <c r="AJ14" s="6">
        <v>0.03</v>
      </c>
      <c r="AK14" s="6">
        <v>0.03</v>
      </c>
      <c r="AL14" s="6">
        <v>0.03</v>
      </c>
      <c r="AM14" s="6">
        <v>0.03</v>
      </c>
      <c r="AN14" s="6">
        <v>0.03</v>
      </c>
      <c r="AO14" s="6">
        <v>0.03</v>
      </c>
      <c r="AP14" s="6">
        <v>0.03</v>
      </c>
      <c r="AQ14" s="6">
        <v>0.03</v>
      </c>
      <c r="AR14" s="6">
        <v>0.03</v>
      </c>
      <c r="AS14" s="6">
        <v>0.03</v>
      </c>
      <c r="AT14" s="6">
        <v>0.03</v>
      </c>
      <c r="AU14" s="6">
        <v>0.03</v>
      </c>
      <c r="AV14" s="6">
        <v>0.03</v>
      </c>
      <c r="AW14" s="6">
        <v>0.03</v>
      </c>
      <c r="AX14" s="6">
        <v>0.03</v>
      </c>
      <c r="AY14" s="6">
        <v>0.03</v>
      </c>
      <c r="AZ14" s="6">
        <v>0.03</v>
      </c>
      <c r="BA14" s="6">
        <v>0.03</v>
      </c>
      <c r="BB14" s="6">
        <v>0.03</v>
      </c>
      <c r="BC14" s="6">
        <v>0.03</v>
      </c>
      <c r="BD14" s="6">
        <v>0.03</v>
      </c>
      <c r="BE14" s="6">
        <v>0.03</v>
      </c>
      <c r="BF14" s="6">
        <v>0.03</v>
      </c>
      <c r="BG14" s="6">
        <v>0.03</v>
      </c>
      <c r="BH14" s="6">
        <v>0.03</v>
      </c>
      <c r="BI14" s="6">
        <v>0.03</v>
      </c>
      <c r="BJ14" s="6">
        <v>0.03</v>
      </c>
    </row>
    <row r="15" spans="2:62" x14ac:dyDescent="0.15">
      <c r="D15" s="34" t="s">
        <v>50</v>
      </c>
      <c r="E15" s="12" t="s">
        <v>4</v>
      </c>
      <c r="F15" s="42">
        <v>0.06</v>
      </c>
    </row>
    <row r="17" spans="2:62" ht="12" x14ac:dyDescent="0.15">
      <c r="B17" s="1">
        <f>MAX( $B$7:B16 ) + 1</f>
        <v>2</v>
      </c>
      <c r="C17" s="1"/>
      <c r="D17" s="1" t="s">
        <v>1</v>
      </c>
      <c r="E17" s="1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</row>
    <row r="19" spans="2:62" x14ac:dyDescent="0.15">
      <c r="C19" s="52">
        <f>MAX( $B$7:C18 ) + 0.1</f>
        <v>2.1</v>
      </c>
      <c r="D19" s="2" t="s">
        <v>6</v>
      </c>
      <c r="E19" s="1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</row>
    <row r="21" spans="2:62" ht="12" thickBot="1" x14ac:dyDescent="0.2">
      <c r="D21" s="8" t="s">
        <v>6</v>
      </c>
      <c r="F21" s="7">
        <f>SUM(F22:F26)</f>
        <v>13000</v>
      </c>
    </row>
    <row r="22" spans="2:62" ht="12" thickTop="1" x14ac:dyDescent="0.15">
      <c r="D22" s="10" t="s">
        <v>126</v>
      </c>
      <c r="E22" s="12" t="s">
        <v>108</v>
      </c>
      <c r="F22" s="4">
        <v>10000</v>
      </c>
      <c r="G22" s="40"/>
    </row>
    <row r="23" spans="2:62" x14ac:dyDescent="0.15">
      <c r="D23" s="10" t="s">
        <v>127</v>
      </c>
      <c r="E23" s="12" t="s">
        <v>108</v>
      </c>
      <c r="F23" s="4">
        <v>2000</v>
      </c>
    </row>
    <row r="24" spans="2:62" x14ac:dyDescent="0.15">
      <c r="D24" s="10" t="s">
        <v>129</v>
      </c>
      <c r="E24" s="12" t="s">
        <v>108</v>
      </c>
      <c r="F24" s="4">
        <v>1000</v>
      </c>
    </row>
    <row r="25" spans="2:62" x14ac:dyDescent="0.15">
      <c r="D25" s="10" t="s">
        <v>125</v>
      </c>
      <c r="E25" s="12" t="s">
        <v>108</v>
      </c>
      <c r="F25" s="4">
        <v>0</v>
      </c>
    </row>
    <row r="26" spans="2:62" x14ac:dyDescent="0.15">
      <c r="D26" s="10" t="s">
        <v>5</v>
      </c>
      <c r="E26" s="12" t="s">
        <v>108</v>
      </c>
      <c r="F26" s="16">
        <v>0</v>
      </c>
    </row>
    <row r="28" spans="2:62" x14ac:dyDescent="0.15">
      <c r="D28" s="8" t="s">
        <v>38</v>
      </c>
    </row>
    <row r="29" spans="2:62" x14ac:dyDescent="0.15">
      <c r="D29" s="11" t="str">
        <f>$D$22</f>
        <v>Income 1</v>
      </c>
      <c r="E29" s="12" t="s">
        <v>23</v>
      </c>
      <c r="F29" s="17">
        <v>2024</v>
      </c>
      <c r="G29" s="17">
        <v>2076</v>
      </c>
    </row>
    <row r="30" spans="2:62" x14ac:dyDescent="0.15">
      <c r="D30" s="11" t="str">
        <f>$D$23</f>
        <v>Income 2</v>
      </c>
      <c r="E30" s="12" t="s">
        <v>23</v>
      </c>
      <c r="F30" s="17">
        <v>2024</v>
      </c>
      <c r="G30" s="17">
        <v>2024</v>
      </c>
    </row>
    <row r="31" spans="2:62" x14ac:dyDescent="0.15">
      <c r="D31" s="11" t="str">
        <f>$D$24</f>
        <v>Income 3</v>
      </c>
      <c r="E31" s="12" t="s">
        <v>23</v>
      </c>
      <c r="F31" s="17">
        <v>2024</v>
      </c>
      <c r="G31" s="17">
        <v>2076</v>
      </c>
    </row>
    <row r="32" spans="2:62" x14ac:dyDescent="0.15">
      <c r="D32" s="11" t="str">
        <f>$D$25</f>
        <v>Ежемесячный доход 4</v>
      </c>
      <c r="E32" s="12" t="s">
        <v>23</v>
      </c>
      <c r="F32" s="17">
        <v>2025</v>
      </c>
      <c r="G32" s="17">
        <v>2076</v>
      </c>
    </row>
    <row r="33" spans="3:62" x14ac:dyDescent="0.15">
      <c r="D33" s="11" t="str">
        <f>$D$26</f>
        <v>Ежемесячный доход 5</v>
      </c>
      <c r="E33" s="12" t="s">
        <v>23</v>
      </c>
      <c r="F33" s="17">
        <v>2024</v>
      </c>
      <c r="G33" s="17">
        <v>2076</v>
      </c>
    </row>
    <row r="35" spans="3:62" x14ac:dyDescent="0.15">
      <c r="D35" s="8" t="s">
        <v>9</v>
      </c>
    </row>
    <row r="36" spans="3:62" x14ac:dyDescent="0.15">
      <c r="D36" s="9" t="str">
        <f>"Темп роста " &amp; D22</f>
        <v>Темп роста Income 1</v>
      </c>
      <c r="E36" s="12" t="s">
        <v>4</v>
      </c>
      <c r="J36" s="6">
        <v>0</v>
      </c>
      <c r="K36" s="6">
        <v>0.5</v>
      </c>
      <c r="L36" s="6">
        <f t="shared" ref="L36:S36" si="5">L$14</f>
        <v>0.03</v>
      </c>
      <c r="M36" s="6">
        <f t="shared" si="5"/>
        <v>0.03</v>
      </c>
      <c r="N36" s="6">
        <f t="shared" si="5"/>
        <v>0.03</v>
      </c>
      <c r="O36" s="6">
        <f t="shared" si="5"/>
        <v>0.03</v>
      </c>
      <c r="P36" s="6">
        <f t="shared" si="5"/>
        <v>0.03</v>
      </c>
      <c r="Q36" s="6">
        <f t="shared" si="5"/>
        <v>0.03</v>
      </c>
      <c r="R36" s="6">
        <f t="shared" si="5"/>
        <v>0.03</v>
      </c>
      <c r="S36" s="6">
        <f t="shared" si="5"/>
        <v>0.03</v>
      </c>
      <c r="T36" s="6">
        <f t="shared" ref="T36:BJ36" si="6">T$14</f>
        <v>0.03</v>
      </c>
      <c r="U36" s="6">
        <f t="shared" si="6"/>
        <v>0.03</v>
      </c>
      <c r="V36" s="6">
        <f t="shared" si="6"/>
        <v>0.03</v>
      </c>
      <c r="W36" s="6">
        <f t="shared" si="6"/>
        <v>0.03</v>
      </c>
      <c r="X36" s="6">
        <f t="shared" si="6"/>
        <v>0.03</v>
      </c>
      <c r="Y36" s="6">
        <f t="shared" si="6"/>
        <v>0.03</v>
      </c>
      <c r="Z36" s="6">
        <f t="shared" si="6"/>
        <v>0.03</v>
      </c>
      <c r="AA36" s="6">
        <f t="shared" si="6"/>
        <v>0.03</v>
      </c>
      <c r="AB36" s="6">
        <f t="shared" si="6"/>
        <v>0.03</v>
      </c>
      <c r="AC36" s="6">
        <f t="shared" si="6"/>
        <v>0.03</v>
      </c>
      <c r="AD36" s="6">
        <f t="shared" si="6"/>
        <v>0.03</v>
      </c>
      <c r="AE36" s="6">
        <f t="shared" si="6"/>
        <v>0.03</v>
      </c>
      <c r="AF36" s="6">
        <f t="shared" si="6"/>
        <v>0.03</v>
      </c>
      <c r="AG36" s="6">
        <f t="shared" si="6"/>
        <v>0.03</v>
      </c>
      <c r="AH36" s="6">
        <f t="shared" si="6"/>
        <v>0.03</v>
      </c>
      <c r="AI36" s="6">
        <f t="shared" si="6"/>
        <v>0.03</v>
      </c>
      <c r="AJ36" s="6">
        <f t="shared" si="6"/>
        <v>0.03</v>
      </c>
      <c r="AK36" s="6">
        <f t="shared" si="6"/>
        <v>0.03</v>
      </c>
      <c r="AL36" s="6">
        <f t="shared" si="6"/>
        <v>0.03</v>
      </c>
      <c r="AM36" s="6">
        <f t="shared" si="6"/>
        <v>0.03</v>
      </c>
      <c r="AN36" s="6">
        <f t="shared" si="6"/>
        <v>0.03</v>
      </c>
      <c r="AO36" s="6">
        <f t="shared" si="6"/>
        <v>0.03</v>
      </c>
      <c r="AP36" s="6">
        <f t="shared" si="6"/>
        <v>0.03</v>
      </c>
      <c r="AQ36" s="6">
        <f t="shared" si="6"/>
        <v>0.03</v>
      </c>
      <c r="AR36" s="6">
        <f t="shared" si="6"/>
        <v>0.03</v>
      </c>
      <c r="AS36" s="6">
        <f t="shared" si="6"/>
        <v>0.03</v>
      </c>
      <c r="AT36" s="6">
        <f t="shared" si="6"/>
        <v>0.03</v>
      </c>
      <c r="AU36" s="6">
        <f t="shared" si="6"/>
        <v>0.03</v>
      </c>
      <c r="AV36" s="6">
        <f t="shared" si="6"/>
        <v>0.03</v>
      </c>
      <c r="AW36" s="6">
        <f t="shared" si="6"/>
        <v>0.03</v>
      </c>
      <c r="AX36" s="6">
        <f t="shared" si="6"/>
        <v>0.03</v>
      </c>
      <c r="AY36" s="6">
        <f t="shared" si="6"/>
        <v>0.03</v>
      </c>
      <c r="AZ36" s="6">
        <f t="shared" si="6"/>
        <v>0.03</v>
      </c>
      <c r="BA36" s="6">
        <f t="shared" si="6"/>
        <v>0.03</v>
      </c>
      <c r="BB36" s="6">
        <f t="shared" si="6"/>
        <v>0.03</v>
      </c>
      <c r="BC36" s="6">
        <f t="shared" si="6"/>
        <v>0.03</v>
      </c>
      <c r="BD36" s="6">
        <f t="shared" si="6"/>
        <v>0.03</v>
      </c>
      <c r="BE36" s="6">
        <f t="shared" si="6"/>
        <v>0.03</v>
      </c>
      <c r="BF36" s="6">
        <f t="shared" si="6"/>
        <v>0.03</v>
      </c>
      <c r="BG36" s="6">
        <f t="shared" si="6"/>
        <v>0.03</v>
      </c>
      <c r="BH36" s="6">
        <f t="shared" si="6"/>
        <v>0.03</v>
      </c>
      <c r="BI36" s="6">
        <f t="shared" si="6"/>
        <v>0.03</v>
      </c>
      <c r="BJ36" s="6">
        <f t="shared" si="6"/>
        <v>0.03</v>
      </c>
    </row>
    <row r="37" spans="3:62" x14ac:dyDescent="0.15">
      <c r="D37" s="9" t="str">
        <f>"Темп роста " &amp; D23</f>
        <v>Темп роста Income 2</v>
      </c>
      <c r="E37" s="12" t="s">
        <v>4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</row>
    <row r="38" spans="3:62" x14ac:dyDescent="0.15">
      <c r="D38" s="9" t="str">
        <f>"Темп роста " &amp; D24</f>
        <v>Темп роста Income 3</v>
      </c>
      <c r="E38" s="12" t="s">
        <v>4</v>
      </c>
      <c r="J38" s="6">
        <v>0</v>
      </c>
      <c r="K38" s="6">
        <f t="shared" ref="K38:BJ40" si="7">K$14</f>
        <v>0.03</v>
      </c>
      <c r="L38" s="6">
        <f t="shared" si="7"/>
        <v>0.03</v>
      </c>
      <c r="M38" s="6">
        <f t="shared" si="7"/>
        <v>0.03</v>
      </c>
      <c r="N38" s="6">
        <f t="shared" si="7"/>
        <v>0.03</v>
      </c>
      <c r="O38" s="6">
        <f t="shared" si="7"/>
        <v>0.03</v>
      </c>
      <c r="P38" s="6">
        <f t="shared" si="7"/>
        <v>0.03</v>
      </c>
      <c r="Q38" s="6">
        <f t="shared" si="7"/>
        <v>0.03</v>
      </c>
      <c r="R38" s="6">
        <f t="shared" si="7"/>
        <v>0.03</v>
      </c>
      <c r="S38" s="6">
        <f t="shared" si="7"/>
        <v>0.03</v>
      </c>
      <c r="T38" s="6">
        <f t="shared" si="7"/>
        <v>0.03</v>
      </c>
      <c r="U38" s="6">
        <f t="shared" si="7"/>
        <v>0.03</v>
      </c>
      <c r="V38" s="6">
        <f t="shared" si="7"/>
        <v>0.03</v>
      </c>
      <c r="W38" s="6">
        <f t="shared" si="7"/>
        <v>0.03</v>
      </c>
      <c r="X38" s="6">
        <f t="shared" si="7"/>
        <v>0.03</v>
      </c>
      <c r="Y38" s="6">
        <f t="shared" si="7"/>
        <v>0.03</v>
      </c>
      <c r="Z38" s="6">
        <f t="shared" si="7"/>
        <v>0.03</v>
      </c>
      <c r="AA38" s="6">
        <f t="shared" si="7"/>
        <v>0.03</v>
      </c>
      <c r="AB38" s="6">
        <f t="shared" si="7"/>
        <v>0.03</v>
      </c>
      <c r="AC38" s="6">
        <f t="shared" si="7"/>
        <v>0.03</v>
      </c>
      <c r="AD38" s="6">
        <f t="shared" si="7"/>
        <v>0.03</v>
      </c>
      <c r="AE38" s="6">
        <f t="shared" si="7"/>
        <v>0.03</v>
      </c>
      <c r="AF38" s="6">
        <f t="shared" si="7"/>
        <v>0.03</v>
      </c>
      <c r="AG38" s="6">
        <f t="shared" si="7"/>
        <v>0.03</v>
      </c>
      <c r="AH38" s="6">
        <f t="shared" si="7"/>
        <v>0.03</v>
      </c>
      <c r="AI38" s="6">
        <f t="shared" si="7"/>
        <v>0.03</v>
      </c>
      <c r="AJ38" s="6">
        <f t="shared" si="7"/>
        <v>0.03</v>
      </c>
      <c r="AK38" s="6">
        <f t="shared" si="7"/>
        <v>0.03</v>
      </c>
      <c r="AL38" s="6">
        <f t="shared" si="7"/>
        <v>0.03</v>
      </c>
      <c r="AM38" s="6">
        <f t="shared" si="7"/>
        <v>0.03</v>
      </c>
      <c r="AN38" s="6">
        <f t="shared" si="7"/>
        <v>0.03</v>
      </c>
      <c r="AO38" s="6">
        <f t="shared" si="7"/>
        <v>0.03</v>
      </c>
      <c r="AP38" s="6">
        <f t="shared" si="7"/>
        <v>0.03</v>
      </c>
      <c r="AQ38" s="6">
        <f t="shared" si="7"/>
        <v>0.03</v>
      </c>
      <c r="AR38" s="6">
        <f t="shared" si="7"/>
        <v>0.03</v>
      </c>
      <c r="AS38" s="6">
        <f t="shared" si="7"/>
        <v>0.03</v>
      </c>
      <c r="AT38" s="6">
        <f t="shared" si="7"/>
        <v>0.03</v>
      </c>
      <c r="AU38" s="6">
        <f t="shared" si="7"/>
        <v>0.03</v>
      </c>
      <c r="AV38" s="6">
        <f t="shared" si="7"/>
        <v>0.03</v>
      </c>
      <c r="AW38" s="6">
        <f t="shared" si="7"/>
        <v>0.03</v>
      </c>
      <c r="AX38" s="6">
        <f t="shared" si="7"/>
        <v>0.03</v>
      </c>
      <c r="AY38" s="6">
        <f t="shared" si="7"/>
        <v>0.03</v>
      </c>
      <c r="AZ38" s="6">
        <f t="shared" si="7"/>
        <v>0.03</v>
      </c>
      <c r="BA38" s="6">
        <f t="shared" si="7"/>
        <v>0.03</v>
      </c>
      <c r="BB38" s="6">
        <f t="shared" si="7"/>
        <v>0.03</v>
      </c>
      <c r="BC38" s="6">
        <f t="shared" si="7"/>
        <v>0.03</v>
      </c>
      <c r="BD38" s="6">
        <f t="shared" si="7"/>
        <v>0.03</v>
      </c>
      <c r="BE38" s="6">
        <f t="shared" si="7"/>
        <v>0.03</v>
      </c>
      <c r="BF38" s="6">
        <f t="shared" si="7"/>
        <v>0.03</v>
      </c>
      <c r="BG38" s="6">
        <f t="shared" si="7"/>
        <v>0.03</v>
      </c>
      <c r="BH38" s="6">
        <f t="shared" si="7"/>
        <v>0.03</v>
      </c>
      <c r="BI38" s="6">
        <f t="shared" si="7"/>
        <v>0.03</v>
      </c>
      <c r="BJ38" s="6">
        <f t="shared" si="7"/>
        <v>0.03</v>
      </c>
    </row>
    <row r="39" spans="3:62" x14ac:dyDescent="0.15">
      <c r="D39" s="9" t="str">
        <f>"Темп роста " &amp; D25</f>
        <v>Темп роста Ежемесячный доход 4</v>
      </c>
      <c r="E39" s="12" t="s">
        <v>4</v>
      </c>
      <c r="J39" s="6">
        <v>0</v>
      </c>
      <c r="K39" s="6">
        <f t="shared" si="7"/>
        <v>0.03</v>
      </c>
      <c r="L39" s="6">
        <f t="shared" si="7"/>
        <v>0.03</v>
      </c>
      <c r="M39" s="6">
        <f t="shared" si="7"/>
        <v>0.03</v>
      </c>
      <c r="N39" s="6">
        <f t="shared" si="7"/>
        <v>0.03</v>
      </c>
      <c r="O39" s="6">
        <f t="shared" si="7"/>
        <v>0.03</v>
      </c>
      <c r="P39" s="6">
        <f t="shared" si="7"/>
        <v>0.03</v>
      </c>
      <c r="Q39" s="6">
        <f t="shared" si="7"/>
        <v>0.03</v>
      </c>
      <c r="R39" s="6">
        <f t="shared" si="7"/>
        <v>0.03</v>
      </c>
      <c r="S39" s="6">
        <f t="shared" si="7"/>
        <v>0.03</v>
      </c>
      <c r="T39" s="6">
        <f t="shared" si="7"/>
        <v>0.03</v>
      </c>
      <c r="U39" s="6">
        <f t="shared" si="7"/>
        <v>0.03</v>
      </c>
      <c r="V39" s="6">
        <f t="shared" si="7"/>
        <v>0.03</v>
      </c>
      <c r="W39" s="6">
        <f t="shared" si="7"/>
        <v>0.03</v>
      </c>
      <c r="X39" s="6">
        <f t="shared" si="7"/>
        <v>0.03</v>
      </c>
      <c r="Y39" s="6">
        <f t="shared" si="7"/>
        <v>0.03</v>
      </c>
      <c r="Z39" s="6">
        <f t="shared" si="7"/>
        <v>0.03</v>
      </c>
      <c r="AA39" s="6">
        <f t="shared" si="7"/>
        <v>0.03</v>
      </c>
      <c r="AB39" s="6">
        <f t="shared" si="7"/>
        <v>0.03</v>
      </c>
      <c r="AC39" s="6">
        <f t="shared" si="7"/>
        <v>0.03</v>
      </c>
      <c r="AD39" s="6">
        <f t="shared" si="7"/>
        <v>0.03</v>
      </c>
      <c r="AE39" s="6">
        <f t="shared" si="7"/>
        <v>0.03</v>
      </c>
      <c r="AF39" s="6">
        <f t="shared" si="7"/>
        <v>0.03</v>
      </c>
      <c r="AG39" s="6">
        <f t="shared" si="7"/>
        <v>0.03</v>
      </c>
      <c r="AH39" s="6">
        <f t="shared" si="7"/>
        <v>0.03</v>
      </c>
      <c r="AI39" s="6">
        <f t="shared" si="7"/>
        <v>0.03</v>
      </c>
      <c r="AJ39" s="6">
        <f t="shared" si="7"/>
        <v>0.03</v>
      </c>
      <c r="AK39" s="6">
        <f t="shared" si="7"/>
        <v>0.03</v>
      </c>
      <c r="AL39" s="6">
        <f t="shared" si="7"/>
        <v>0.03</v>
      </c>
      <c r="AM39" s="6">
        <f t="shared" si="7"/>
        <v>0.03</v>
      </c>
      <c r="AN39" s="6">
        <f t="shared" si="7"/>
        <v>0.03</v>
      </c>
      <c r="AO39" s="6">
        <f t="shared" si="7"/>
        <v>0.03</v>
      </c>
      <c r="AP39" s="6">
        <f t="shared" si="7"/>
        <v>0.03</v>
      </c>
      <c r="AQ39" s="6">
        <f t="shared" si="7"/>
        <v>0.03</v>
      </c>
      <c r="AR39" s="6">
        <f t="shared" si="7"/>
        <v>0.03</v>
      </c>
      <c r="AS39" s="6">
        <f t="shared" si="7"/>
        <v>0.03</v>
      </c>
      <c r="AT39" s="6">
        <f t="shared" si="7"/>
        <v>0.03</v>
      </c>
      <c r="AU39" s="6">
        <f t="shared" si="7"/>
        <v>0.03</v>
      </c>
      <c r="AV39" s="6">
        <f t="shared" si="7"/>
        <v>0.03</v>
      </c>
      <c r="AW39" s="6">
        <f t="shared" si="7"/>
        <v>0.03</v>
      </c>
      <c r="AX39" s="6">
        <f t="shared" si="7"/>
        <v>0.03</v>
      </c>
      <c r="AY39" s="6">
        <f t="shared" si="7"/>
        <v>0.03</v>
      </c>
      <c r="AZ39" s="6">
        <f t="shared" si="7"/>
        <v>0.03</v>
      </c>
      <c r="BA39" s="6">
        <f t="shared" si="7"/>
        <v>0.03</v>
      </c>
      <c r="BB39" s="6">
        <f t="shared" si="7"/>
        <v>0.03</v>
      </c>
      <c r="BC39" s="6">
        <f t="shared" si="7"/>
        <v>0.03</v>
      </c>
      <c r="BD39" s="6">
        <f t="shared" si="7"/>
        <v>0.03</v>
      </c>
      <c r="BE39" s="6">
        <f t="shared" si="7"/>
        <v>0.03</v>
      </c>
      <c r="BF39" s="6">
        <f t="shared" si="7"/>
        <v>0.03</v>
      </c>
      <c r="BG39" s="6">
        <f t="shared" si="7"/>
        <v>0.03</v>
      </c>
      <c r="BH39" s="6">
        <f t="shared" si="7"/>
        <v>0.03</v>
      </c>
      <c r="BI39" s="6">
        <f t="shared" si="7"/>
        <v>0.03</v>
      </c>
      <c r="BJ39" s="6">
        <f t="shared" si="7"/>
        <v>0.03</v>
      </c>
    </row>
    <row r="40" spans="3:62" x14ac:dyDescent="0.15">
      <c r="D40" s="9" t="str">
        <f>"Темп роста " &amp; D26</f>
        <v>Темп роста Ежемесячный доход 5</v>
      </c>
      <c r="E40" s="12" t="s">
        <v>4</v>
      </c>
      <c r="J40" s="6">
        <v>0</v>
      </c>
      <c r="K40" s="6">
        <f t="shared" si="7"/>
        <v>0.03</v>
      </c>
      <c r="L40" s="6">
        <f t="shared" si="7"/>
        <v>0.03</v>
      </c>
      <c r="M40" s="6">
        <f t="shared" si="7"/>
        <v>0.03</v>
      </c>
      <c r="N40" s="6">
        <f t="shared" si="7"/>
        <v>0.03</v>
      </c>
      <c r="O40" s="6">
        <f t="shared" si="7"/>
        <v>0.03</v>
      </c>
      <c r="P40" s="6">
        <f t="shared" si="7"/>
        <v>0.03</v>
      </c>
      <c r="Q40" s="6">
        <f t="shared" si="7"/>
        <v>0.03</v>
      </c>
      <c r="R40" s="6">
        <f t="shared" si="7"/>
        <v>0.03</v>
      </c>
      <c r="S40" s="6">
        <f t="shared" si="7"/>
        <v>0.03</v>
      </c>
      <c r="T40" s="6">
        <f t="shared" si="7"/>
        <v>0.03</v>
      </c>
      <c r="U40" s="6">
        <f t="shared" si="7"/>
        <v>0.03</v>
      </c>
      <c r="V40" s="6">
        <f t="shared" si="7"/>
        <v>0.03</v>
      </c>
      <c r="W40" s="6">
        <f t="shared" si="7"/>
        <v>0.03</v>
      </c>
      <c r="X40" s="6">
        <f t="shared" si="7"/>
        <v>0.03</v>
      </c>
      <c r="Y40" s="6">
        <f t="shared" si="7"/>
        <v>0.03</v>
      </c>
      <c r="Z40" s="6">
        <f t="shared" si="7"/>
        <v>0.03</v>
      </c>
      <c r="AA40" s="6">
        <f t="shared" si="7"/>
        <v>0.03</v>
      </c>
      <c r="AB40" s="6">
        <f t="shared" si="7"/>
        <v>0.03</v>
      </c>
      <c r="AC40" s="6">
        <f t="shared" si="7"/>
        <v>0.03</v>
      </c>
      <c r="AD40" s="6">
        <f t="shared" si="7"/>
        <v>0.03</v>
      </c>
      <c r="AE40" s="6">
        <f t="shared" si="7"/>
        <v>0.03</v>
      </c>
      <c r="AF40" s="6">
        <f t="shared" si="7"/>
        <v>0.03</v>
      </c>
      <c r="AG40" s="6">
        <f t="shared" si="7"/>
        <v>0.03</v>
      </c>
      <c r="AH40" s="6">
        <f t="shared" si="7"/>
        <v>0.03</v>
      </c>
      <c r="AI40" s="6">
        <f t="shared" si="7"/>
        <v>0.03</v>
      </c>
      <c r="AJ40" s="6">
        <f t="shared" si="7"/>
        <v>0.03</v>
      </c>
      <c r="AK40" s="6">
        <f t="shared" si="7"/>
        <v>0.03</v>
      </c>
      <c r="AL40" s="6">
        <f t="shared" si="7"/>
        <v>0.03</v>
      </c>
      <c r="AM40" s="6">
        <f t="shared" si="7"/>
        <v>0.03</v>
      </c>
      <c r="AN40" s="6">
        <f t="shared" si="7"/>
        <v>0.03</v>
      </c>
      <c r="AO40" s="6">
        <f t="shared" si="7"/>
        <v>0.03</v>
      </c>
      <c r="AP40" s="6">
        <f t="shared" si="7"/>
        <v>0.03</v>
      </c>
      <c r="AQ40" s="6">
        <f t="shared" si="7"/>
        <v>0.03</v>
      </c>
      <c r="AR40" s="6">
        <f t="shared" si="7"/>
        <v>0.03</v>
      </c>
      <c r="AS40" s="6">
        <f t="shared" si="7"/>
        <v>0.03</v>
      </c>
      <c r="AT40" s="6">
        <f t="shared" si="7"/>
        <v>0.03</v>
      </c>
      <c r="AU40" s="6">
        <f t="shared" si="7"/>
        <v>0.03</v>
      </c>
      <c r="AV40" s="6">
        <f t="shared" si="7"/>
        <v>0.03</v>
      </c>
      <c r="AW40" s="6">
        <f t="shared" si="7"/>
        <v>0.03</v>
      </c>
      <c r="AX40" s="6">
        <f t="shared" si="7"/>
        <v>0.03</v>
      </c>
      <c r="AY40" s="6">
        <f t="shared" si="7"/>
        <v>0.03</v>
      </c>
      <c r="AZ40" s="6">
        <f t="shared" si="7"/>
        <v>0.03</v>
      </c>
      <c r="BA40" s="6">
        <f t="shared" si="7"/>
        <v>0.03</v>
      </c>
      <c r="BB40" s="6">
        <f t="shared" si="7"/>
        <v>0.03</v>
      </c>
      <c r="BC40" s="6">
        <f t="shared" si="7"/>
        <v>0.03</v>
      </c>
      <c r="BD40" s="6">
        <f t="shared" si="7"/>
        <v>0.03</v>
      </c>
      <c r="BE40" s="6">
        <f t="shared" si="7"/>
        <v>0.03</v>
      </c>
      <c r="BF40" s="6">
        <f t="shared" si="7"/>
        <v>0.03</v>
      </c>
      <c r="BG40" s="6">
        <f t="shared" si="7"/>
        <v>0.03</v>
      </c>
      <c r="BH40" s="6">
        <f t="shared" si="7"/>
        <v>0.03</v>
      </c>
      <c r="BI40" s="6">
        <f t="shared" si="7"/>
        <v>0.03</v>
      </c>
      <c r="BJ40" s="6">
        <f t="shared" si="7"/>
        <v>0.03</v>
      </c>
    </row>
    <row r="41" spans="3:62" collapsed="1" x14ac:dyDescent="0.15"/>
    <row r="42" spans="3:62" x14ac:dyDescent="0.15">
      <c r="C42" s="2">
        <f>MAX( $B$7:C41 ) + 0.1</f>
        <v>2.2000000000000002</v>
      </c>
      <c r="D42" s="2" t="s">
        <v>7</v>
      </c>
      <c r="E42" s="14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</row>
    <row r="44" spans="3:62" ht="12" thickBot="1" x14ac:dyDescent="0.2">
      <c r="D44" s="8" t="s">
        <v>7</v>
      </c>
      <c r="F44" s="7">
        <f>SUM(F45:F49)</f>
        <v>0</v>
      </c>
    </row>
    <row r="45" spans="3:62" ht="12" thickTop="1" x14ac:dyDescent="0.15">
      <c r="D45" s="10" t="s">
        <v>109</v>
      </c>
      <c r="E45" s="12" t="s">
        <v>110</v>
      </c>
      <c r="F45" s="16">
        <v>0</v>
      </c>
    </row>
    <row r="46" spans="3:62" x14ac:dyDescent="0.15">
      <c r="D46" s="10" t="s">
        <v>88</v>
      </c>
      <c r="E46" s="12" t="s">
        <v>110</v>
      </c>
      <c r="F46" s="4">
        <v>0</v>
      </c>
    </row>
    <row r="47" spans="3:62" x14ac:dyDescent="0.15">
      <c r="D47" s="10" t="s">
        <v>89</v>
      </c>
      <c r="E47" s="12" t="s">
        <v>110</v>
      </c>
      <c r="F47" s="4">
        <v>0</v>
      </c>
    </row>
    <row r="48" spans="3:62" x14ac:dyDescent="0.15">
      <c r="D48" s="10" t="s">
        <v>90</v>
      </c>
      <c r="E48" s="12" t="s">
        <v>110</v>
      </c>
      <c r="F48" s="4">
        <v>0</v>
      </c>
    </row>
    <row r="49" spans="4:62" x14ac:dyDescent="0.15">
      <c r="D49" s="10" t="s">
        <v>8</v>
      </c>
      <c r="E49" s="12" t="s">
        <v>110</v>
      </c>
      <c r="F49" s="4">
        <v>0</v>
      </c>
    </row>
    <row r="51" spans="4:62" x14ac:dyDescent="0.15">
      <c r="D51" s="8" t="s">
        <v>7</v>
      </c>
    </row>
    <row r="52" spans="4:62" x14ac:dyDescent="0.15">
      <c r="D52" s="11" t="str">
        <f>Вводные!$D$45</f>
        <v>Ежегодный доход 1</v>
      </c>
      <c r="E52" s="12" t="s">
        <v>23</v>
      </c>
      <c r="F52" s="17">
        <v>2024</v>
      </c>
      <c r="G52" s="17">
        <v>2076</v>
      </c>
    </row>
    <row r="53" spans="4:62" x14ac:dyDescent="0.15">
      <c r="D53" s="11" t="str">
        <f>Вводные!$D$46</f>
        <v>Ежегодный доход 2</v>
      </c>
      <c r="E53" s="12" t="s">
        <v>23</v>
      </c>
      <c r="F53" s="17">
        <v>2024</v>
      </c>
      <c r="G53" s="17">
        <v>2076</v>
      </c>
    </row>
    <row r="54" spans="4:62" x14ac:dyDescent="0.15">
      <c r="D54" s="11" t="str">
        <f>Вводные!$D$47</f>
        <v>Ежегодный доход 3</v>
      </c>
      <c r="E54" s="12" t="s">
        <v>23</v>
      </c>
      <c r="F54" s="17">
        <v>2024</v>
      </c>
      <c r="G54" s="17">
        <v>2076</v>
      </c>
    </row>
    <row r="55" spans="4:62" x14ac:dyDescent="0.15">
      <c r="D55" s="11" t="str">
        <f>Вводные!$D$48</f>
        <v>Ежегодный доход 4</v>
      </c>
      <c r="E55" s="12" t="s">
        <v>23</v>
      </c>
      <c r="F55" s="17">
        <v>2024</v>
      </c>
      <c r="G55" s="17">
        <v>2076</v>
      </c>
    </row>
    <row r="56" spans="4:62" x14ac:dyDescent="0.15">
      <c r="D56" s="11" t="str">
        <f>Вводные!$D$49</f>
        <v>Ежегодный доход 5</v>
      </c>
      <c r="E56" s="12" t="s">
        <v>23</v>
      </c>
      <c r="F56" s="17">
        <v>2024</v>
      </c>
      <c r="G56" s="17">
        <v>2076</v>
      </c>
    </row>
    <row r="58" spans="4:62" x14ac:dyDescent="0.15">
      <c r="D58" s="8" t="s">
        <v>10</v>
      </c>
    </row>
    <row r="59" spans="4:62" x14ac:dyDescent="0.15">
      <c r="D59" s="9" t="str">
        <f>"Темп роста " &amp; D45</f>
        <v>Темп роста Ежегодный доход 1</v>
      </c>
      <c r="E59" s="12" t="s">
        <v>4</v>
      </c>
      <c r="J59" s="6">
        <v>0</v>
      </c>
      <c r="K59" s="6">
        <f t="shared" ref="K59:BJ63" si="8">K$14</f>
        <v>0.03</v>
      </c>
      <c r="L59" s="6">
        <f t="shared" si="8"/>
        <v>0.03</v>
      </c>
      <c r="M59" s="6">
        <f t="shared" si="8"/>
        <v>0.03</v>
      </c>
      <c r="N59" s="6">
        <f t="shared" si="8"/>
        <v>0.03</v>
      </c>
      <c r="O59" s="6">
        <f t="shared" si="8"/>
        <v>0.03</v>
      </c>
      <c r="P59" s="6">
        <f t="shared" si="8"/>
        <v>0.03</v>
      </c>
      <c r="Q59" s="6">
        <f t="shared" si="8"/>
        <v>0.03</v>
      </c>
      <c r="R59" s="6">
        <f t="shared" si="8"/>
        <v>0.03</v>
      </c>
      <c r="S59" s="6">
        <f t="shared" si="8"/>
        <v>0.03</v>
      </c>
      <c r="T59" s="6">
        <f t="shared" si="8"/>
        <v>0.03</v>
      </c>
      <c r="U59" s="6">
        <f t="shared" si="8"/>
        <v>0.03</v>
      </c>
      <c r="V59" s="6">
        <f t="shared" si="8"/>
        <v>0.03</v>
      </c>
      <c r="W59" s="6">
        <f t="shared" si="8"/>
        <v>0.03</v>
      </c>
      <c r="X59" s="6">
        <f t="shared" si="8"/>
        <v>0.03</v>
      </c>
      <c r="Y59" s="6">
        <f t="shared" si="8"/>
        <v>0.03</v>
      </c>
      <c r="Z59" s="6">
        <f t="shared" si="8"/>
        <v>0.03</v>
      </c>
      <c r="AA59" s="6">
        <f t="shared" si="8"/>
        <v>0.03</v>
      </c>
      <c r="AB59" s="6">
        <f t="shared" si="8"/>
        <v>0.03</v>
      </c>
      <c r="AC59" s="6">
        <f t="shared" si="8"/>
        <v>0.03</v>
      </c>
      <c r="AD59" s="6">
        <f t="shared" si="8"/>
        <v>0.03</v>
      </c>
      <c r="AE59" s="6">
        <f t="shared" si="8"/>
        <v>0.03</v>
      </c>
      <c r="AF59" s="6">
        <f t="shared" si="8"/>
        <v>0.03</v>
      </c>
      <c r="AG59" s="6">
        <f t="shared" si="8"/>
        <v>0.03</v>
      </c>
      <c r="AH59" s="6">
        <f t="shared" si="8"/>
        <v>0.03</v>
      </c>
      <c r="AI59" s="6">
        <f t="shared" si="8"/>
        <v>0.03</v>
      </c>
      <c r="AJ59" s="6">
        <f t="shared" si="8"/>
        <v>0.03</v>
      </c>
      <c r="AK59" s="6">
        <f t="shared" si="8"/>
        <v>0.03</v>
      </c>
      <c r="AL59" s="6">
        <f t="shared" si="8"/>
        <v>0.03</v>
      </c>
      <c r="AM59" s="6">
        <f t="shared" si="8"/>
        <v>0.03</v>
      </c>
      <c r="AN59" s="6">
        <f t="shared" si="8"/>
        <v>0.03</v>
      </c>
      <c r="AO59" s="6">
        <f t="shared" si="8"/>
        <v>0.03</v>
      </c>
      <c r="AP59" s="6">
        <f t="shared" si="8"/>
        <v>0.03</v>
      </c>
      <c r="AQ59" s="6">
        <f t="shared" si="8"/>
        <v>0.03</v>
      </c>
      <c r="AR59" s="6">
        <f t="shared" si="8"/>
        <v>0.03</v>
      </c>
      <c r="AS59" s="6">
        <f t="shared" si="8"/>
        <v>0.03</v>
      </c>
      <c r="AT59" s="6">
        <f t="shared" si="8"/>
        <v>0.03</v>
      </c>
      <c r="AU59" s="6">
        <f t="shared" si="8"/>
        <v>0.03</v>
      </c>
      <c r="AV59" s="6">
        <f t="shared" si="8"/>
        <v>0.03</v>
      </c>
      <c r="AW59" s="6">
        <f t="shared" si="8"/>
        <v>0.03</v>
      </c>
      <c r="AX59" s="6">
        <f t="shared" si="8"/>
        <v>0.03</v>
      </c>
      <c r="AY59" s="6">
        <f t="shared" si="8"/>
        <v>0.03</v>
      </c>
      <c r="AZ59" s="6">
        <f t="shared" si="8"/>
        <v>0.03</v>
      </c>
      <c r="BA59" s="6">
        <f t="shared" si="8"/>
        <v>0.03</v>
      </c>
      <c r="BB59" s="6">
        <f t="shared" si="8"/>
        <v>0.03</v>
      </c>
      <c r="BC59" s="6">
        <f t="shared" si="8"/>
        <v>0.03</v>
      </c>
      <c r="BD59" s="6">
        <f t="shared" si="8"/>
        <v>0.03</v>
      </c>
      <c r="BE59" s="6">
        <f t="shared" si="8"/>
        <v>0.03</v>
      </c>
      <c r="BF59" s="6">
        <f t="shared" si="8"/>
        <v>0.03</v>
      </c>
      <c r="BG59" s="6">
        <f t="shared" si="8"/>
        <v>0.03</v>
      </c>
      <c r="BH59" s="6">
        <f t="shared" si="8"/>
        <v>0.03</v>
      </c>
      <c r="BI59" s="6">
        <f t="shared" si="8"/>
        <v>0.03</v>
      </c>
      <c r="BJ59" s="6">
        <f t="shared" si="8"/>
        <v>0.03</v>
      </c>
    </row>
    <row r="60" spans="4:62" x14ac:dyDescent="0.15">
      <c r="D60" s="9" t="str">
        <f>"Темп роста " &amp; D46</f>
        <v>Темп роста Ежегодный доход 2</v>
      </c>
      <c r="E60" s="12" t="s">
        <v>4</v>
      </c>
      <c r="J60" s="6">
        <v>0</v>
      </c>
      <c r="K60" s="6">
        <f t="shared" si="8"/>
        <v>0.03</v>
      </c>
      <c r="L60" s="6">
        <f t="shared" si="8"/>
        <v>0.03</v>
      </c>
      <c r="M60" s="6">
        <f t="shared" si="8"/>
        <v>0.03</v>
      </c>
      <c r="N60" s="6">
        <f t="shared" si="8"/>
        <v>0.03</v>
      </c>
      <c r="O60" s="6">
        <f t="shared" si="8"/>
        <v>0.03</v>
      </c>
      <c r="P60" s="6">
        <f t="shared" si="8"/>
        <v>0.03</v>
      </c>
      <c r="Q60" s="6">
        <f t="shared" si="8"/>
        <v>0.03</v>
      </c>
      <c r="R60" s="6">
        <f t="shared" si="8"/>
        <v>0.03</v>
      </c>
      <c r="S60" s="6">
        <f t="shared" si="8"/>
        <v>0.03</v>
      </c>
      <c r="T60" s="6">
        <f t="shared" si="8"/>
        <v>0.03</v>
      </c>
      <c r="U60" s="6">
        <f t="shared" si="8"/>
        <v>0.03</v>
      </c>
      <c r="V60" s="6">
        <f t="shared" si="8"/>
        <v>0.03</v>
      </c>
      <c r="W60" s="6">
        <f t="shared" si="8"/>
        <v>0.03</v>
      </c>
      <c r="X60" s="6">
        <f t="shared" si="8"/>
        <v>0.03</v>
      </c>
      <c r="Y60" s="6">
        <f t="shared" si="8"/>
        <v>0.03</v>
      </c>
      <c r="Z60" s="6">
        <f t="shared" si="8"/>
        <v>0.03</v>
      </c>
      <c r="AA60" s="6">
        <f t="shared" si="8"/>
        <v>0.03</v>
      </c>
      <c r="AB60" s="6">
        <f t="shared" si="8"/>
        <v>0.03</v>
      </c>
      <c r="AC60" s="6">
        <f t="shared" si="8"/>
        <v>0.03</v>
      </c>
      <c r="AD60" s="6">
        <f t="shared" si="8"/>
        <v>0.03</v>
      </c>
      <c r="AE60" s="6">
        <f t="shared" si="8"/>
        <v>0.03</v>
      </c>
      <c r="AF60" s="6">
        <f t="shared" si="8"/>
        <v>0.03</v>
      </c>
      <c r="AG60" s="6">
        <f t="shared" si="8"/>
        <v>0.03</v>
      </c>
      <c r="AH60" s="6">
        <f t="shared" si="8"/>
        <v>0.03</v>
      </c>
      <c r="AI60" s="6">
        <f t="shared" si="8"/>
        <v>0.03</v>
      </c>
      <c r="AJ60" s="6">
        <f t="shared" si="8"/>
        <v>0.03</v>
      </c>
      <c r="AK60" s="6">
        <f t="shared" si="8"/>
        <v>0.03</v>
      </c>
      <c r="AL60" s="6">
        <f t="shared" si="8"/>
        <v>0.03</v>
      </c>
      <c r="AM60" s="6">
        <f t="shared" si="8"/>
        <v>0.03</v>
      </c>
      <c r="AN60" s="6">
        <f t="shared" si="8"/>
        <v>0.03</v>
      </c>
      <c r="AO60" s="6">
        <f t="shared" si="8"/>
        <v>0.03</v>
      </c>
      <c r="AP60" s="6">
        <f t="shared" si="8"/>
        <v>0.03</v>
      </c>
      <c r="AQ60" s="6">
        <f t="shared" si="8"/>
        <v>0.03</v>
      </c>
      <c r="AR60" s="6">
        <f t="shared" si="8"/>
        <v>0.03</v>
      </c>
      <c r="AS60" s="6">
        <f t="shared" si="8"/>
        <v>0.03</v>
      </c>
      <c r="AT60" s="6">
        <f t="shared" si="8"/>
        <v>0.03</v>
      </c>
      <c r="AU60" s="6">
        <f t="shared" si="8"/>
        <v>0.03</v>
      </c>
      <c r="AV60" s="6">
        <f t="shared" si="8"/>
        <v>0.03</v>
      </c>
      <c r="AW60" s="6">
        <f t="shared" si="8"/>
        <v>0.03</v>
      </c>
      <c r="AX60" s="6">
        <f t="shared" si="8"/>
        <v>0.03</v>
      </c>
      <c r="AY60" s="6">
        <f t="shared" si="8"/>
        <v>0.03</v>
      </c>
      <c r="AZ60" s="6">
        <f t="shared" si="8"/>
        <v>0.03</v>
      </c>
      <c r="BA60" s="6">
        <f t="shared" si="8"/>
        <v>0.03</v>
      </c>
      <c r="BB60" s="6">
        <f t="shared" si="8"/>
        <v>0.03</v>
      </c>
      <c r="BC60" s="6">
        <f t="shared" si="8"/>
        <v>0.03</v>
      </c>
      <c r="BD60" s="6">
        <f t="shared" si="8"/>
        <v>0.03</v>
      </c>
      <c r="BE60" s="6">
        <f t="shared" si="8"/>
        <v>0.03</v>
      </c>
      <c r="BF60" s="6">
        <f t="shared" si="8"/>
        <v>0.03</v>
      </c>
      <c r="BG60" s="6">
        <f t="shared" si="8"/>
        <v>0.03</v>
      </c>
      <c r="BH60" s="6">
        <f t="shared" si="8"/>
        <v>0.03</v>
      </c>
      <c r="BI60" s="6">
        <f t="shared" si="8"/>
        <v>0.03</v>
      </c>
      <c r="BJ60" s="6">
        <f t="shared" si="8"/>
        <v>0.03</v>
      </c>
    </row>
    <row r="61" spans="4:62" x14ac:dyDescent="0.15">
      <c r="D61" s="9" t="str">
        <f>"Темп роста " &amp; D47</f>
        <v>Темп роста Ежегодный доход 3</v>
      </c>
      <c r="E61" s="12" t="s">
        <v>4</v>
      </c>
      <c r="J61" s="6">
        <v>0</v>
      </c>
      <c r="K61" s="6">
        <f t="shared" si="8"/>
        <v>0.03</v>
      </c>
      <c r="L61" s="6">
        <f t="shared" si="8"/>
        <v>0.03</v>
      </c>
      <c r="M61" s="6">
        <f t="shared" si="8"/>
        <v>0.03</v>
      </c>
      <c r="N61" s="6">
        <f t="shared" si="8"/>
        <v>0.03</v>
      </c>
      <c r="O61" s="6">
        <f t="shared" si="8"/>
        <v>0.03</v>
      </c>
      <c r="P61" s="6">
        <f t="shared" si="8"/>
        <v>0.03</v>
      </c>
      <c r="Q61" s="6">
        <f t="shared" si="8"/>
        <v>0.03</v>
      </c>
      <c r="R61" s="6">
        <f t="shared" si="8"/>
        <v>0.03</v>
      </c>
      <c r="S61" s="6">
        <f t="shared" si="8"/>
        <v>0.03</v>
      </c>
      <c r="T61" s="6">
        <f t="shared" si="8"/>
        <v>0.03</v>
      </c>
      <c r="U61" s="6">
        <f t="shared" si="8"/>
        <v>0.03</v>
      </c>
      <c r="V61" s="6">
        <f t="shared" si="8"/>
        <v>0.03</v>
      </c>
      <c r="W61" s="6">
        <f t="shared" si="8"/>
        <v>0.03</v>
      </c>
      <c r="X61" s="6">
        <f t="shared" si="8"/>
        <v>0.03</v>
      </c>
      <c r="Y61" s="6">
        <f t="shared" si="8"/>
        <v>0.03</v>
      </c>
      <c r="Z61" s="6">
        <f t="shared" si="8"/>
        <v>0.03</v>
      </c>
      <c r="AA61" s="6">
        <f t="shared" si="8"/>
        <v>0.03</v>
      </c>
      <c r="AB61" s="6">
        <f t="shared" si="8"/>
        <v>0.03</v>
      </c>
      <c r="AC61" s="6">
        <f t="shared" si="8"/>
        <v>0.03</v>
      </c>
      <c r="AD61" s="6">
        <f t="shared" si="8"/>
        <v>0.03</v>
      </c>
      <c r="AE61" s="6">
        <f t="shared" si="8"/>
        <v>0.03</v>
      </c>
      <c r="AF61" s="6">
        <f t="shared" si="8"/>
        <v>0.03</v>
      </c>
      <c r="AG61" s="6">
        <f t="shared" si="8"/>
        <v>0.03</v>
      </c>
      <c r="AH61" s="6">
        <f t="shared" si="8"/>
        <v>0.03</v>
      </c>
      <c r="AI61" s="6">
        <f t="shared" si="8"/>
        <v>0.03</v>
      </c>
      <c r="AJ61" s="6">
        <f t="shared" si="8"/>
        <v>0.03</v>
      </c>
      <c r="AK61" s="6">
        <f t="shared" si="8"/>
        <v>0.03</v>
      </c>
      <c r="AL61" s="6">
        <f t="shared" si="8"/>
        <v>0.03</v>
      </c>
      <c r="AM61" s="6">
        <f t="shared" si="8"/>
        <v>0.03</v>
      </c>
      <c r="AN61" s="6">
        <f t="shared" si="8"/>
        <v>0.03</v>
      </c>
      <c r="AO61" s="6">
        <f t="shared" si="8"/>
        <v>0.03</v>
      </c>
      <c r="AP61" s="6">
        <f t="shared" si="8"/>
        <v>0.03</v>
      </c>
      <c r="AQ61" s="6">
        <f t="shared" si="8"/>
        <v>0.03</v>
      </c>
      <c r="AR61" s="6">
        <f t="shared" si="8"/>
        <v>0.03</v>
      </c>
      <c r="AS61" s="6">
        <f t="shared" si="8"/>
        <v>0.03</v>
      </c>
      <c r="AT61" s="6">
        <f t="shared" si="8"/>
        <v>0.03</v>
      </c>
      <c r="AU61" s="6">
        <f t="shared" si="8"/>
        <v>0.03</v>
      </c>
      <c r="AV61" s="6">
        <f t="shared" si="8"/>
        <v>0.03</v>
      </c>
      <c r="AW61" s="6">
        <f t="shared" si="8"/>
        <v>0.03</v>
      </c>
      <c r="AX61" s="6">
        <f t="shared" si="8"/>
        <v>0.03</v>
      </c>
      <c r="AY61" s="6">
        <f t="shared" si="8"/>
        <v>0.03</v>
      </c>
      <c r="AZ61" s="6">
        <f t="shared" si="8"/>
        <v>0.03</v>
      </c>
      <c r="BA61" s="6">
        <f t="shared" si="8"/>
        <v>0.03</v>
      </c>
      <c r="BB61" s="6">
        <f t="shared" si="8"/>
        <v>0.03</v>
      </c>
      <c r="BC61" s="6">
        <f t="shared" si="8"/>
        <v>0.03</v>
      </c>
      <c r="BD61" s="6">
        <f t="shared" si="8"/>
        <v>0.03</v>
      </c>
      <c r="BE61" s="6">
        <f t="shared" si="8"/>
        <v>0.03</v>
      </c>
      <c r="BF61" s="6">
        <f t="shared" si="8"/>
        <v>0.03</v>
      </c>
      <c r="BG61" s="6">
        <f t="shared" si="8"/>
        <v>0.03</v>
      </c>
      <c r="BH61" s="6">
        <f t="shared" si="8"/>
        <v>0.03</v>
      </c>
      <c r="BI61" s="6">
        <f t="shared" si="8"/>
        <v>0.03</v>
      </c>
      <c r="BJ61" s="6">
        <f t="shared" si="8"/>
        <v>0.03</v>
      </c>
    </row>
    <row r="62" spans="4:62" x14ac:dyDescent="0.15">
      <c r="D62" s="9" t="str">
        <f>"Темп роста " &amp; D48</f>
        <v>Темп роста Ежегодный доход 4</v>
      </c>
      <c r="E62" s="12" t="s">
        <v>4</v>
      </c>
      <c r="J62" s="6">
        <v>0</v>
      </c>
      <c r="K62" s="6">
        <f t="shared" si="8"/>
        <v>0.03</v>
      </c>
      <c r="L62" s="6">
        <f t="shared" si="8"/>
        <v>0.03</v>
      </c>
      <c r="M62" s="6">
        <f t="shared" si="8"/>
        <v>0.03</v>
      </c>
      <c r="N62" s="6">
        <f t="shared" si="8"/>
        <v>0.03</v>
      </c>
      <c r="O62" s="6">
        <f t="shared" si="8"/>
        <v>0.03</v>
      </c>
      <c r="P62" s="6">
        <f t="shared" si="8"/>
        <v>0.03</v>
      </c>
      <c r="Q62" s="6">
        <f t="shared" si="8"/>
        <v>0.03</v>
      </c>
      <c r="R62" s="6">
        <f t="shared" si="8"/>
        <v>0.03</v>
      </c>
      <c r="S62" s="6">
        <f t="shared" si="8"/>
        <v>0.03</v>
      </c>
      <c r="T62" s="6">
        <f t="shared" si="8"/>
        <v>0.03</v>
      </c>
      <c r="U62" s="6">
        <f t="shared" si="8"/>
        <v>0.03</v>
      </c>
      <c r="V62" s="6">
        <f t="shared" si="8"/>
        <v>0.03</v>
      </c>
      <c r="W62" s="6">
        <f t="shared" si="8"/>
        <v>0.03</v>
      </c>
      <c r="X62" s="6">
        <f t="shared" si="8"/>
        <v>0.03</v>
      </c>
      <c r="Y62" s="6">
        <f t="shared" si="8"/>
        <v>0.03</v>
      </c>
      <c r="Z62" s="6">
        <f t="shared" si="8"/>
        <v>0.03</v>
      </c>
      <c r="AA62" s="6">
        <f t="shared" si="8"/>
        <v>0.03</v>
      </c>
      <c r="AB62" s="6">
        <f t="shared" si="8"/>
        <v>0.03</v>
      </c>
      <c r="AC62" s="6">
        <f t="shared" si="8"/>
        <v>0.03</v>
      </c>
      <c r="AD62" s="6">
        <f t="shared" si="8"/>
        <v>0.03</v>
      </c>
      <c r="AE62" s="6">
        <f t="shared" si="8"/>
        <v>0.03</v>
      </c>
      <c r="AF62" s="6">
        <f t="shared" si="8"/>
        <v>0.03</v>
      </c>
      <c r="AG62" s="6">
        <f t="shared" si="8"/>
        <v>0.03</v>
      </c>
      <c r="AH62" s="6">
        <f t="shared" si="8"/>
        <v>0.03</v>
      </c>
      <c r="AI62" s="6">
        <f t="shared" si="8"/>
        <v>0.03</v>
      </c>
      <c r="AJ62" s="6">
        <f t="shared" si="8"/>
        <v>0.03</v>
      </c>
      <c r="AK62" s="6">
        <f t="shared" si="8"/>
        <v>0.03</v>
      </c>
      <c r="AL62" s="6">
        <f t="shared" si="8"/>
        <v>0.03</v>
      </c>
      <c r="AM62" s="6">
        <f t="shared" si="8"/>
        <v>0.03</v>
      </c>
      <c r="AN62" s="6">
        <f t="shared" si="8"/>
        <v>0.03</v>
      </c>
      <c r="AO62" s="6">
        <f t="shared" si="8"/>
        <v>0.03</v>
      </c>
      <c r="AP62" s="6">
        <f t="shared" si="8"/>
        <v>0.03</v>
      </c>
      <c r="AQ62" s="6">
        <f t="shared" si="8"/>
        <v>0.03</v>
      </c>
      <c r="AR62" s="6">
        <f t="shared" si="8"/>
        <v>0.03</v>
      </c>
      <c r="AS62" s="6">
        <f t="shared" si="8"/>
        <v>0.03</v>
      </c>
      <c r="AT62" s="6">
        <f t="shared" si="8"/>
        <v>0.03</v>
      </c>
      <c r="AU62" s="6">
        <f t="shared" si="8"/>
        <v>0.03</v>
      </c>
      <c r="AV62" s="6">
        <f t="shared" si="8"/>
        <v>0.03</v>
      </c>
      <c r="AW62" s="6">
        <f t="shared" si="8"/>
        <v>0.03</v>
      </c>
      <c r="AX62" s="6">
        <f t="shared" si="8"/>
        <v>0.03</v>
      </c>
      <c r="AY62" s="6">
        <f t="shared" si="8"/>
        <v>0.03</v>
      </c>
      <c r="AZ62" s="6">
        <f t="shared" si="8"/>
        <v>0.03</v>
      </c>
      <c r="BA62" s="6">
        <f t="shared" si="8"/>
        <v>0.03</v>
      </c>
      <c r="BB62" s="6">
        <f t="shared" si="8"/>
        <v>0.03</v>
      </c>
      <c r="BC62" s="6">
        <f t="shared" si="8"/>
        <v>0.03</v>
      </c>
      <c r="BD62" s="6">
        <f t="shared" si="8"/>
        <v>0.03</v>
      </c>
      <c r="BE62" s="6">
        <f t="shared" si="8"/>
        <v>0.03</v>
      </c>
      <c r="BF62" s="6">
        <f t="shared" si="8"/>
        <v>0.03</v>
      </c>
      <c r="BG62" s="6">
        <f t="shared" si="8"/>
        <v>0.03</v>
      </c>
      <c r="BH62" s="6">
        <f t="shared" si="8"/>
        <v>0.03</v>
      </c>
      <c r="BI62" s="6">
        <f t="shared" si="8"/>
        <v>0.03</v>
      </c>
      <c r="BJ62" s="6">
        <f t="shared" si="8"/>
        <v>0.03</v>
      </c>
    </row>
    <row r="63" spans="4:62" x14ac:dyDescent="0.15">
      <c r="D63" s="9" t="str">
        <f>"Темп роста " &amp; D49</f>
        <v>Темп роста Ежегодный доход 5</v>
      </c>
      <c r="E63" s="12" t="s">
        <v>4</v>
      </c>
      <c r="J63" s="6">
        <v>0</v>
      </c>
      <c r="K63" s="6">
        <f t="shared" si="8"/>
        <v>0.03</v>
      </c>
      <c r="L63" s="6">
        <f t="shared" si="8"/>
        <v>0.03</v>
      </c>
      <c r="M63" s="6">
        <f t="shared" si="8"/>
        <v>0.03</v>
      </c>
      <c r="N63" s="6">
        <f t="shared" si="8"/>
        <v>0.03</v>
      </c>
      <c r="O63" s="6">
        <f t="shared" si="8"/>
        <v>0.03</v>
      </c>
      <c r="P63" s="6">
        <f t="shared" si="8"/>
        <v>0.03</v>
      </c>
      <c r="Q63" s="6">
        <f t="shared" si="8"/>
        <v>0.03</v>
      </c>
      <c r="R63" s="6">
        <f t="shared" si="8"/>
        <v>0.03</v>
      </c>
      <c r="S63" s="6">
        <f t="shared" si="8"/>
        <v>0.03</v>
      </c>
      <c r="T63" s="6">
        <f t="shared" si="8"/>
        <v>0.03</v>
      </c>
      <c r="U63" s="6">
        <f t="shared" si="8"/>
        <v>0.03</v>
      </c>
      <c r="V63" s="6">
        <f t="shared" si="8"/>
        <v>0.03</v>
      </c>
      <c r="W63" s="6">
        <f t="shared" si="8"/>
        <v>0.03</v>
      </c>
      <c r="X63" s="6">
        <f t="shared" si="8"/>
        <v>0.03</v>
      </c>
      <c r="Y63" s="6">
        <f t="shared" si="8"/>
        <v>0.03</v>
      </c>
      <c r="Z63" s="6">
        <f t="shared" si="8"/>
        <v>0.03</v>
      </c>
      <c r="AA63" s="6">
        <f t="shared" si="8"/>
        <v>0.03</v>
      </c>
      <c r="AB63" s="6">
        <f t="shared" si="8"/>
        <v>0.03</v>
      </c>
      <c r="AC63" s="6">
        <f t="shared" si="8"/>
        <v>0.03</v>
      </c>
      <c r="AD63" s="6">
        <f t="shared" si="8"/>
        <v>0.03</v>
      </c>
      <c r="AE63" s="6">
        <f t="shared" si="8"/>
        <v>0.03</v>
      </c>
      <c r="AF63" s="6">
        <f t="shared" si="8"/>
        <v>0.03</v>
      </c>
      <c r="AG63" s="6">
        <f t="shared" si="8"/>
        <v>0.03</v>
      </c>
      <c r="AH63" s="6">
        <f t="shared" si="8"/>
        <v>0.03</v>
      </c>
      <c r="AI63" s="6">
        <f t="shared" si="8"/>
        <v>0.03</v>
      </c>
      <c r="AJ63" s="6">
        <f t="shared" si="8"/>
        <v>0.03</v>
      </c>
      <c r="AK63" s="6">
        <f t="shared" si="8"/>
        <v>0.03</v>
      </c>
      <c r="AL63" s="6">
        <f t="shared" si="8"/>
        <v>0.03</v>
      </c>
      <c r="AM63" s="6">
        <f t="shared" si="8"/>
        <v>0.03</v>
      </c>
      <c r="AN63" s="6">
        <f t="shared" si="8"/>
        <v>0.03</v>
      </c>
      <c r="AO63" s="6">
        <f t="shared" si="8"/>
        <v>0.03</v>
      </c>
      <c r="AP63" s="6">
        <f t="shared" si="8"/>
        <v>0.03</v>
      </c>
      <c r="AQ63" s="6">
        <f t="shared" si="8"/>
        <v>0.03</v>
      </c>
      <c r="AR63" s="6">
        <f t="shared" si="8"/>
        <v>0.03</v>
      </c>
      <c r="AS63" s="6">
        <f t="shared" si="8"/>
        <v>0.03</v>
      </c>
      <c r="AT63" s="6">
        <f t="shared" si="8"/>
        <v>0.03</v>
      </c>
      <c r="AU63" s="6">
        <f t="shared" si="8"/>
        <v>0.03</v>
      </c>
      <c r="AV63" s="6">
        <f t="shared" si="8"/>
        <v>0.03</v>
      </c>
      <c r="AW63" s="6">
        <f t="shared" si="8"/>
        <v>0.03</v>
      </c>
      <c r="AX63" s="6">
        <f t="shared" si="8"/>
        <v>0.03</v>
      </c>
      <c r="AY63" s="6">
        <f t="shared" si="8"/>
        <v>0.03</v>
      </c>
      <c r="AZ63" s="6">
        <f t="shared" si="8"/>
        <v>0.03</v>
      </c>
      <c r="BA63" s="6">
        <f t="shared" si="8"/>
        <v>0.03</v>
      </c>
      <c r="BB63" s="6">
        <f t="shared" si="8"/>
        <v>0.03</v>
      </c>
      <c r="BC63" s="6">
        <f t="shared" si="8"/>
        <v>0.03</v>
      </c>
      <c r="BD63" s="6">
        <f t="shared" si="8"/>
        <v>0.03</v>
      </c>
      <c r="BE63" s="6">
        <f t="shared" si="8"/>
        <v>0.03</v>
      </c>
      <c r="BF63" s="6">
        <f>BF$14</f>
        <v>0.03</v>
      </c>
      <c r="BG63" s="6">
        <f>BG$14</f>
        <v>0.03</v>
      </c>
      <c r="BH63" s="6">
        <f>BH$14</f>
        <v>0.03</v>
      </c>
      <c r="BI63" s="6">
        <f>BI$14</f>
        <v>0.03</v>
      </c>
      <c r="BJ63" s="6">
        <f>BJ$14</f>
        <v>0.03</v>
      </c>
    </row>
    <row r="64" spans="4:62" collapsed="1" x14ac:dyDescent="0.15"/>
    <row r="65" spans="2:62" ht="12" x14ac:dyDescent="0.15">
      <c r="B65" s="1">
        <f>MAX( $B$7:B64 ) + 1</f>
        <v>3</v>
      </c>
      <c r="C65" s="1"/>
      <c r="D65" s="1" t="s">
        <v>12</v>
      </c>
      <c r="E65" s="1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</row>
    <row r="67" spans="2:62" x14ac:dyDescent="0.15">
      <c r="C67" s="2">
        <f>MAX( $B$7:C66 ) + 0.1</f>
        <v>3.1</v>
      </c>
      <c r="D67" s="2" t="s">
        <v>14</v>
      </c>
      <c r="E67" s="14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</row>
    <row r="69" spans="2:62" ht="12" thickBot="1" x14ac:dyDescent="0.2">
      <c r="D69" s="41" t="s">
        <v>14</v>
      </c>
      <c r="F69" s="7">
        <f>SUM(F70:F89)</f>
        <v>-8000</v>
      </c>
    </row>
    <row r="70" spans="2:62" ht="12" thickTop="1" x14ac:dyDescent="0.15">
      <c r="D70" s="10" t="s">
        <v>111</v>
      </c>
      <c r="E70" s="12" t="s">
        <v>108</v>
      </c>
      <c r="F70" s="16">
        <v>-1000</v>
      </c>
    </row>
    <row r="71" spans="2:62" x14ac:dyDescent="0.15">
      <c r="D71" s="10" t="s">
        <v>128</v>
      </c>
      <c r="E71" s="12" t="s">
        <v>108</v>
      </c>
      <c r="F71" s="16">
        <v>-1000</v>
      </c>
    </row>
    <row r="72" spans="2:62" x14ac:dyDescent="0.15">
      <c r="D72" s="10" t="s">
        <v>112</v>
      </c>
      <c r="E72" s="12" t="s">
        <v>108</v>
      </c>
      <c r="F72" s="16">
        <v>-1000</v>
      </c>
    </row>
    <row r="73" spans="2:62" x14ac:dyDescent="0.15">
      <c r="D73" s="10" t="s">
        <v>113</v>
      </c>
      <c r="E73" s="12" t="s">
        <v>108</v>
      </c>
      <c r="F73" s="16">
        <v>-1000</v>
      </c>
    </row>
    <row r="74" spans="2:62" x14ac:dyDescent="0.15">
      <c r="D74" s="10" t="s">
        <v>114</v>
      </c>
      <c r="E74" s="12" t="s">
        <v>108</v>
      </c>
      <c r="F74" s="16">
        <v>-1000</v>
      </c>
    </row>
    <row r="75" spans="2:62" x14ac:dyDescent="0.15">
      <c r="D75" s="10" t="s">
        <v>115</v>
      </c>
      <c r="E75" s="12" t="s">
        <v>108</v>
      </c>
      <c r="F75" s="16">
        <v>-1000</v>
      </c>
    </row>
    <row r="76" spans="2:62" x14ac:dyDescent="0.15">
      <c r="D76" s="10" t="s">
        <v>123</v>
      </c>
      <c r="E76" s="12" t="s">
        <v>108</v>
      </c>
      <c r="F76" s="16">
        <v>-1000</v>
      </c>
    </row>
    <row r="77" spans="2:62" x14ac:dyDescent="0.15">
      <c r="D77" s="10" t="s">
        <v>94</v>
      </c>
      <c r="E77" s="12" t="s">
        <v>108</v>
      </c>
      <c r="F77" s="16">
        <v>-1000</v>
      </c>
    </row>
    <row r="78" spans="2:62" x14ac:dyDescent="0.15">
      <c r="D78" s="10" t="s">
        <v>95</v>
      </c>
      <c r="E78" s="12" t="s">
        <v>108</v>
      </c>
      <c r="F78" s="16">
        <v>0</v>
      </c>
    </row>
    <row r="79" spans="2:62" x14ac:dyDescent="0.15">
      <c r="D79" s="10" t="s">
        <v>96</v>
      </c>
      <c r="E79" s="12" t="s">
        <v>108</v>
      </c>
      <c r="F79" s="16">
        <v>0</v>
      </c>
    </row>
    <row r="80" spans="2:62" x14ac:dyDescent="0.15">
      <c r="D80" s="10" t="s">
        <v>97</v>
      </c>
      <c r="E80" s="12" t="s">
        <v>108</v>
      </c>
      <c r="F80" s="16">
        <v>0</v>
      </c>
    </row>
    <row r="81" spans="4:62" x14ac:dyDescent="0.15">
      <c r="D81" s="10" t="s">
        <v>98</v>
      </c>
      <c r="E81" s="12" t="s">
        <v>108</v>
      </c>
      <c r="F81" s="16">
        <v>0</v>
      </c>
    </row>
    <row r="82" spans="4:62" x14ac:dyDescent="0.15">
      <c r="D82" s="10" t="s">
        <v>99</v>
      </c>
      <c r="E82" s="12" t="s">
        <v>108</v>
      </c>
      <c r="F82" s="16">
        <v>0</v>
      </c>
    </row>
    <row r="83" spans="4:62" x14ac:dyDescent="0.15">
      <c r="D83" s="10" t="s">
        <v>100</v>
      </c>
      <c r="E83" s="12" t="s">
        <v>108</v>
      </c>
      <c r="F83" s="16">
        <v>0</v>
      </c>
    </row>
    <row r="84" spans="4:62" x14ac:dyDescent="0.15">
      <c r="D84" s="10" t="s">
        <v>101</v>
      </c>
      <c r="E84" s="12" t="s">
        <v>108</v>
      </c>
      <c r="F84" s="16">
        <v>0</v>
      </c>
    </row>
    <row r="85" spans="4:62" x14ac:dyDescent="0.15">
      <c r="D85" s="10" t="s">
        <v>102</v>
      </c>
      <c r="E85" s="12" t="s">
        <v>108</v>
      </c>
      <c r="F85" s="16">
        <v>0</v>
      </c>
    </row>
    <row r="86" spans="4:62" x14ac:dyDescent="0.15">
      <c r="D86" s="10" t="s">
        <v>103</v>
      </c>
      <c r="E86" s="12" t="s">
        <v>108</v>
      </c>
      <c r="F86" s="16">
        <v>0</v>
      </c>
    </row>
    <row r="87" spans="4:62" x14ac:dyDescent="0.15">
      <c r="D87" s="10" t="s">
        <v>104</v>
      </c>
      <c r="E87" s="12" t="s">
        <v>108</v>
      </c>
      <c r="F87" s="16">
        <v>0</v>
      </c>
    </row>
    <row r="88" spans="4:62" x14ac:dyDescent="0.15">
      <c r="D88" s="10" t="s">
        <v>19</v>
      </c>
      <c r="E88" s="12" t="s">
        <v>108</v>
      </c>
      <c r="F88" s="16">
        <v>0</v>
      </c>
    </row>
    <row r="89" spans="4:62" x14ac:dyDescent="0.15">
      <c r="D89" s="10" t="s">
        <v>20</v>
      </c>
      <c r="E89" s="12" t="s">
        <v>108</v>
      </c>
      <c r="F89" s="16">
        <v>0</v>
      </c>
    </row>
    <row r="91" spans="4:62" x14ac:dyDescent="0.15">
      <c r="D91" s="8" t="s">
        <v>11</v>
      </c>
    </row>
    <row r="92" spans="4:62" x14ac:dyDescent="0.15">
      <c r="D92" s="9" t="str">
        <f t="shared" ref="D92:D111" si="9">"Темп роста " &amp; D70</f>
        <v>Темп роста Еда</v>
      </c>
      <c r="E92" s="12" t="s">
        <v>4</v>
      </c>
      <c r="J92" s="6">
        <v>0</v>
      </c>
      <c r="K92" s="6">
        <f t="shared" ref="K92:BJ96" si="10">K$14</f>
        <v>0.03</v>
      </c>
      <c r="L92" s="6">
        <f t="shared" si="10"/>
        <v>0.03</v>
      </c>
      <c r="M92" s="6">
        <f t="shared" si="10"/>
        <v>0.03</v>
      </c>
      <c r="N92" s="6">
        <f t="shared" si="10"/>
        <v>0.03</v>
      </c>
      <c r="O92" s="6">
        <f t="shared" si="10"/>
        <v>0.03</v>
      </c>
      <c r="P92" s="6">
        <f t="shared" si="10"/>
        <v>0.03</v>
      </c>
      <c r="Q92" s="6">
        <f t="shared" si="10"/>
        <v>0.03</v>
      </c>
      <c r="R92" s="6">
        <f t="shared" si="10"/>
        <v>0.03</v>
      </c>
      <c r="S92" s="6">
        <f t="shared" si="10"/>
        <v>0.03</v>
      </c>
      <c r="T92" s="6">
        <f t="shared" si="10"/>
        <v>0.03</v>
      </c>
      <c r="U92" s="6">
        <f t="shared" si="10"/>
        <v>0.03</v>
      </c>
      <c r="V92" s="6">
        <f t="shared" si="10"/>
        <v>0.03</v>
      </c>
      <c r="W92" s="6">
        <f t="shared" si="10"/>
        <v>0.03</v>
      </c>
      <c r="X92" s="6">
        <f t="shared" si="10"/>
        <v>0.03</v>
      </c>
      <c r="Y92" s="6">
        <f t="shared" si="10"/>
        <v>0.03</v>
      </c>
      <c r="Z92" s="6">
        <f t="shared" si="10"/>
        <v>0.03</v>
      </c>
      <c r="AA92" s="6">
        <f t="shared" si="10"/>
        <v>0.03</v>
      </c>
      <c r="AB92" s="6">
        <f t="shared" si="10"/>
        <v>0.03</v>
      </c>
      <c r="AC92" s="6">
        <f t="shared" si="10"/>
        <v>0.03</v>
      </c>
      <c r="AD92" s="6">
        <f t="shared" si="10"/>
        <v>0.03</v>
      </c>
      <c r="AE92" s="6">
        <f t="shared" si="10"/>
        <v>0.03</v>
      </c>
      <c r="AF92" s="6">
        <f t="shared" si="10"/>
        <v>0.03</v>
      </c>
      <c r="AG92" s="6">
        <f t="shared" si="10"/>
        <v>0.03</v>
      </c>
      <c r="AH92" s="6">
        <f t="shared" si="10"/>
        <v>0.03</v>
      </c>
      <c r="AI92" s="6">
        <f t="shared" si="10"/>
        <v>0.03</v>
      </c>
      <c r="AJ92" s="6">
        <f t="shared" si="10"/>
        <v>0.03</v>
      </c>
      <c r="AK92" s="6">
        <f t="shared" si="10"/>
        <v>0.03</v>
      </c>
      <c r="AL92" s="6">
        <f t="shared" si="10"/>
        <v>0.03</v>
      </c>
      <c r="AM92" s="6">
        <f t="shared" si="10"/>
        <v>0.03</v>
      </c>
      <c r="AN92" s="6">
        <f t="shared" si="10"/>
        <v>0.03</v>
      </c>
      <c r="AO92" s="6">
        <f t="shared" si="10"/>
        <v>0.03</v>
      </c>
      <c r="AP92" s="6">
        <f t="shared" si="10"/>
        <v>0.03</v>
      </c>
      <c r="AQ92" s="6">
        <f t="shared" si="10"/>
        <v>0.03</v>
      </c>
      <c r="AR92" s="6">
        <f t="shared" si="10"/>
        <v>0.03</v>
      </c>
      <c r="AS92" s="6">
        <f t="shared" si="10"/>
        <v>0.03</v>
      </c>
      <c r="AT92" s="6">
        <f t="shared" si="10"/>
        <v>0.03</v>
      </c>
      <c r="AU92" s="6">
        <f t="shared" si="10"/>
        <v>0.03</v>
      </c>
      <c r="AV92" s="6">
        <f t="shared" si="10"/>
        <v>0.03</v>
      </c>
      <c r="AW92" s="6">
        <f t="shared" si="10"/>
        <v>0.03</v>
      </c>
      <c r="AX92" s="6">
        <f t="shared" si="10"/>
        <v>0.03</v>
      </c>
      <c r="AY92" s="6">
        <f t="shared" si="10"/>
        <v>0.03</v>
      </c>
      <c r="AZ92" s="6">
        <f t="shared" si="10"/>
        <v>0.03</v>
      </c>
      <c r="BA92" s="6">
        <f t="shared" si="10"/>
        <v>0.03</v>
      </c>
      <c r="BB92" s="6">
        <f t="shared" si="10"/>
        <v>0.03</v>
      </c>
      <c r="BC92" s="6">
        <f t="shared" si="10"/>
        <v>0.03</v>
      </c>
      <c r="BD92" s="6">
        <f t="shared" si="10"/>
        <v>0.03</v>
      </c>
      <c r="BE92" s="6">
        <f t="shared" si="10"/>
        <v>0.03</v>
      </c>
      <c r="BF92" s="6">
        <f t="shared" si="10"/>
        <v>0.03</v>
      </c>
      <c r="BG92" s="6">
        <f t="shared" si="10"/>
        <v>0.03</v>
      </c>
      <c r="BH92" s="6">
        <f t="shared" si="10"/>
        <v>0.03</v>
      </c>
      <c r="BI92" s="6">
        <f t="shared" si="10"/>
        <v>0.03</v>
      </c>
      <c r="BJ92" s="6">
        <f t="shared" si="10"/>
        <v>0.03</v>
      </c>
    </row>
    <row r="93" spans="4:62" x14ac:dyDescent="0.15">
      <c r="D93" s="9" t="str">
        <f t="shared" si="9"/>
        <v>Темп роста Садик</v>
      </c>
      <c r="E93" s="12" t="s">
        <v>4</v>
      </c>
      <c r="J93" s="6">
        <v>0</v>
      </c>
      <c r="K93" s="6">
        <f t="shared" si="10"/>
        <v>0.03</v>
      </c>
      <c r="L93" s="6">
        <f t="shared" si="10"/>
        <v>0.03</v>
      </c>
      <c r="M93" s="6">
        <f t="shared" si="10"/>
        <v>0.03</v>
      </c>
      <c r="N93" s="6">
        <f t="shared" si="10"/>
        <v>0.03</v>
      </c>
      <c r="O93" s="6">
        <f t="shared" si="10"/>
        <v>0.03</v>
      </c>
      <c r="P93" s="6">
        <f t="shared" si="10"/>
        <v>0.03</v>
      </c>
      <c r="Q93" s="6">
        <f t="shared" si="10"/>
        <v>0.03</v>
      </c>
      <c r="R93" s="6">
        <f t="shared" si="10"/>
        <v>0.03</v>
      </c>
      <c r="S93" s="6">
        <f t="shared" si="10"/>
        <v>0.03</v>
      </c>
      <c r="T93" s="6">
        <f t="shared" si="10"/>
        <v>0.03</v>
      </c>
      <c r="U93" s="6">
        <f t="shared" si="10"/>
        <v>0.03</v>
      </c>
      <c r="V93" s="6">
        <f t="shared" si="10"/>
        <v>0.03</v>
      </c>
      <c r="W93" s="6">
        <f t="shared" si="10"/>
        <v>0.03</v>
      </c>
      <c r="X93" s="6">
        <f t="shared" si="10"/>
        <v>0.03</v>
      </c>
      <c r="Y93" s="6">
        <f t="shared" si="10"/>
        <v>0.03</v>
      </c>
      <c r="Z93" s="6">
        <f t="shared" si="10"/>
        <v>0.03</v>
      </c>
      <c r="AA93" s="6">
        <f t="shared" si="10"/>
        <v>0.03</v>
      </c>
      <c r="AB93" s="6">
        <f t="shared" si="10"/>
        <v>0.03</v>
      </c>
      <c r="AC93" s="6">
        <f t="shared" si="10"/>
        <v>0.03</v>
      </c>
      <c r="AD93" s="6">
        <f t="shared" si="10"/>
        <v>0.03</v>
      </c>
      <c r="AE93" s="6">
        <f t="shared" si="10"/>
        <v>0.03</v>
      </c>
      <c r="AF93" s="6">
        <f t="shared" si="10"/>
        <v>0.03</v>
      </c>
      <c r="AG93" s="6">
        <f t="shared" si="10"/>
        <v>0.03</v>
      </c>
      <c r="AH93" s="6">
        <f t="shared" si="10"/>
        <v>0.03</v>
      </c>
      <c r="AI93" s="6">
        <f t="shared" si="10"/>
        <v>0.03</v>
      </c>
      <c r="AJ93" s="6">
        <f t="shared" si="10"/>
        <v>0.03</v>
      </c>
      <c r="AK93" s="6">
        <f t="shared" si="10"/>
        <v>0.03</v>
      </c>
      <c r="AL93" s="6">
        <f t="shared" si="10"/>
        <v>0.03</v>
      </c>
      <c r="AM93" s="6">
        <f t="shared" si="10"/>
        <v>0.03</v>
      </c>
      <c r="AN93" s="6">
        <f t="shared" si="10"/>
        <v>0.03</v>
      </c>
      <c r="AO93" s="6">
        <f t="shared" si="10"/>
        <v>0.03</v>
      </c>
      <c r="AP93" s="6">
        <f t="shared" si="10"/>
        <v>0.03</v>
      </c>
      <c r="AQ93" s="6">
        <f t="shared" si="10"/>
        <v>0.03</v>
      </c>
      <c r="AR93" s="6">
        <f t="shared" si="10"/>
        <v>0.03</v>
      </c>
      <c r="AS93" s="6">
        <f t="shared" si="10"/>
        <v>0.03</v>
      </c>
      <c r="AT93" s="6">
        <f t="shared" si="10"/>
        <v>0.03</v>
      </c>
      <c r="AU93" s="6">
        <f t="shared" si="10"/>
        <v>0.03</v>
      </c>
      <c r="AV93" s="6">
        <f t="shared" si="10"/>
        <v>0.03</v>
      </c>
      <c r="AW93" s="6">
        <f t="shared" si="10"/>
        <v>0.03</v>
      </c>
      <c r="AX93" s="6">
        <f t="shared" si="10"/>
        <v>0.03</v>
      </c>
      <c r="AY93" s="6">
        <f t="shared" si="10"/>
        <v>0.03</v>
      </c>
      <c r="AZ93" s="6">
        <f t="shared" si="10"/>
        <v>0.03</v>
      </c>
      <c r="BA93" s="6">
        <f t="shared" si="10"/>
        <v>0.03</v>
      </c>
      <c r="BB93" s="6">
        <f t="shared" si="10"/>
        <v>0.03</v>
      </c>
      <c r="BC93" s="6">
        <f t="shared" si="10"/>
        <v>0.03</v>
      </c>
      <c r="BD93" s="6">
        <f t="shared" si="10"/>
        <v>0.03</v>
      </c>
      <c r="BE93" s="6">
        <f t="shared" si="10"/>
        <v>0.03</v>
      </c>
      <c r="BF93" s="6">
        <f t="shared" si="10"/>
        <v>0.03</v>
      </c>
      <c r="BG93" s="6">
        <f t="shared" si="10"/>
        <v>0.03</v>
      </c>
      <c r="BH93" s="6">
        <f t="shared" si="10"/>
        <v>0.03</v>
      </c>
      <c r="BI93" s="6">
        <f t="shared" si="10"/>
        <v>0.03</v>
      </c>
      <c r="BJ93" s="6">
        <f t="shared" si="10"/>
        <v>0.03</v>
      </c>
    </row>
    <row r="94" spans="4:62" x14ac:dyDescent="0.15">
      <c r="D94" s="9" t="str">
        <f t="shared" si="9"/>
        <v>Темп роста Няня</v>
      </c>
      <c r="E94" s="12" t="s">
        <v>4</v>
      </c>
      <c r="J94" s="6">
        <v>0</v>
      </c>
      <c r="K94" s="6">
        <f t="shared" si="10"/>
        <v>0.03</v>
      </c>
      <c r="L94" s="6">
        <f t="shared" si="10"/>
        <v>0.03</v>
      </c>
      <c r="M94" s="6">
        <f t="shared" si="10"/>
        <v>0.03</v>
      </c>
      <c r="N94" s="6">
        <f t="shared" si="10"/>
        <v>0.03</v>
      </c>
      <c r="O94" s="6">
        <f t="shared" si="10"/>
        <v>0.03</v>
      </c>
      <c r="P94" s="6">
        <f t="shared" si="10"/>
        <v>0.03</v>
      </c>
      <c r="Q94" s="6">
        <f t="shared" si="10"/>
        <v>0.03</v>
      </c>
      <c r="R94" s="6">
        <f t="shared" si="10"/>
        <v>0.03</v>
      </c>
      <c r="S94" s="6">
        <f t="shared" si="10"/>
        <v>0.03</v>
      </c>
      <c r="T94" s="6">
        <f t="shared" si="10"/>
        <v>0.03</v>
      </c>
      <c r="U94" s="6">
        <f t="shared" si="10"/>
        <v>0.03</v>
      </c>
      <c r="V94" s="6">
        <f t="shared" ref="V94:BJ94" si="11">V$14</f>
        <v>0.03</v>
      </c>
      <c r="W94" s="6">
        <f t="shared" si="11"/>
        <v>0.03</v>
      </c>
      <c r="X94" s="6">
        <f t="shared" si="11"/>
        <v>0.03</v>
      </c>
      <c r="Y94" s="6">
        <f t="shared" si="11"/>
        <v>0.03</v>
      </c>
      <c r="Z94" s="6">
        <f t="shared" si="11"/>
        <v>0.03</v>
      </c>
      <c r="AA94" s="6">
        <f t="shared" si="11"/>
        <v>0.03</v>
      </c>
      <c r="AB94" s="6">
        <f t="shared" si="11"/>
        <v>0.03</v>
      </c>
      <c r="AC94" s="6">
        <f t="shared" si="11"/>
        <v>0.03</v>
      </c>
      <c r="AD94" s="6">
        <f t="shared" si="11"/>
        <v>0.03</v>
      </c>
      <c r="AE94" s="6">
        <f t="shared" si="11"/>
        <v>0.03</v>
      </c>
      <c r="AF94" s="6">
        <f t="shared" si="11"/>
        <v>0.03</v>
      </c>
      <c r="AG94" s="6">
        <f t="shared" si="11"/>
        <v>0.03</v>
      </c>
      <c r="AH94" s="6">
        <f t="shared" si="11"/>
        <v>0.03</v>
      </c>
      <c r="AI94" s="6">
        <f t="shared" si="11"/>
        <v>0.03</v>
      </c>
      <c r="AJ94" s="6">
        <f t="shared" si="11"/>
        <v>0.03</v>
      </c>
      <c r="AK94" s="6">
        <f t="shared" si="11"/>
        <v>0.03</v>
      </c>
      <c r="AL94" s="6">
        <f t="shared" si="11"/>
        <v>0.03</v>
      </c>
      <c r="AM94" s="6">
        <f t="shared" si="11"/>
        <v>0.03</v>
      </c>
      <c r="AN94" s="6">
        <f t="shared" si="11"/>
        <v>0.03</v>
      </c>
      <c r="AO94" s="6">
        <f t="shared" si="11"/>
        <v>0.03</v>
      </c>
      <c r="AP94" s="6">
        <f t="shared" si="11"/>
        <v>0.03</v>
      </c>
      <c r="AQ94" s="6">
        <f t="shared" si="11"/>
        <v>0.03</v>
      </c>
      <c r="AR94" s="6">
        <f t="shared" si="11"/>
        <v>0.03</v>
      </c>
      <c r="AS94" s="6">
        <f t="shared" si="11"/>
        <v>0.03</v>
      </c>
      <c r="AT94" s="6">
        <f t="shared" si="11"/>
        <v>0.03</v>
      </c>
      <c r="AU94" s="6">
        <f t="shared" si="11"/>
        <v>0.03</v>
      </c>
      <c r="AV94" s="6">
        <f t="shared" si="11"/>
        <v>0.03</v>
      </c>
      <c r="AW94" s="6">
        <f t="shared" si="11"/>
        <v>0.03</v>
      </c>
      <c r="AX94" s="6">
        <f t="shared" si="11"/>
        <v>0.03</v>
      </c>
      <c r="AY94" s="6">
        <f t="shared" si="11"/>
        <v>0.03</v>
      </c>
      <c r="AZ94" s="6">
        <f t="shared" si="11"/>
        <v>0.03</v>
      </c>
      <c r="BA94" s="6">
        <f t="shared" si="11"/>
        <v>0.03</v>
      </c>
      <c r="BB94" s="6">
        <f t="shared" si="11"/>
        <v>0.03</v>
      </c>
      <c r="BC94" s="6">
        <f t="shared" si="11"/>
        <v>0.03</v>
      </c>
      <c r="BD94" s="6">
        <f t="shared" si="11"/>
        <v>0.03</v>
      </c>
      <c r="BE94" s="6">
        <f t="shared" si="11"/>
        <v>0.03</v>
      </c>
      <c r="BF94" s="6">
        <f t="shared" si="11"/>
        <v>0.03</v>
      </c>
      <c r="BG94" s="6">
        <f t="shared" si="11"/>
        <v>0.03</v>
      </c>
      <c r="BH94" s="6">
        <f t="shared" si="11"/>
        <v>0.03</v>
      </c>
      <c r="BI94" s="6">
        <f t="shared" si="11"/>
        <v>0.03</v>
      </c>
      <c r="BJ94" s="6">
        <f t="shared" si="11"/>
        <v>0.03</v>
      </c>
    </row>
    <row r="95" spans="4:62" x14ac:dyDescent="0.15">
      <c r="D95" s="9" t="str">
        <f t="shared" si="9"/>
        <v>Темп роста Ипотека</v>
      </c>
      <c r="E95" s="12" t="s">
        <v>4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6">
        <v>0</v>
      </c>
      <c r="BF95" s="6">
        <v>0</v>
      </c>
      <c r="BG95" s="6">
        <v>0</v>
      </c>
      <c r="BH95" s="6">
        <v>0</v>
      </c>
      <c r="BI95" s="6">
        <v>0</v>
      </c>
      <c r="BJ95" s="6">
        <v>0</v>
      </c>
    </row>
    <row r="96" spans="4:62" x14ac:dyDescent="0.15">
      <c r="D96" s="9" t="str">
        <f t="shared" si="9"/>
        <v>Темп роста Аренда квартиры + коммуналка</v>
      </c>
      <c r="E96" s="12" t="s">
        <v>4</v>
      </c>
      <c r="J96" s="6">
        <v>0</v>
      </c>
      <c r="K96" s="6">
        <f t="shared" si="10"/>
        <v>0.03</v>
      </c>
      <c r="L96" s="6">
        <f t="shared" si="10"/>
        <v>0.03</v>
      </c>
      <c r="M96" s="6">
        <f t="shared" si="10"/>
        <v>0.03</v>
      </c>
      <c r="N96" s="6">
        <f t="shared" si="10"/>
        <v>0.03</v>
      </c>
      <c r="O96" s="6">
        <f t="shared" si="10"/>
        <v>0.03</v>
      </c>
      <c r="P96" s="6">
        <f t="shared" si="10"/>
        <v>0.03</v>
      </c>
      <c r="Q96" s="6">
        <f t="shared" si="10"/>
        <v>0.03</v>
      </c>
      <c r="R96" s="6">
        <f t="shared" si="10"/>
        <v>0.03</v>
      </c>
      <c r="S96" s="6">
        <f t="shared" si="10"/>
        <v>0.03</v>
      </c>
      <c r="T96" s="6">
        <f t="shared" si="10"/>
        <v>0.03</v>
      </c>
      <c r="U96" s="6">
        <f t="shared" si="10"/>
        <v>0.03</v>
      </c>
      <c r="V96" s="6">
        <f t="shared" si="10"/>
        <v>0.03</v>
      </c>
      <c r="W96" s="6">
        <f t="shared" si="10"/>
        <v>0.03</v>
      </c>
      <c r="X96" s="6">
        <f t="shared" si="10"/>
        <v>0.03</v>
      </c>
      <c r="Y96" s="6">
        <f t="shared" si="10"/>
        <v>0.03</v>
      </c>
      <c r="Z96" s="6">
        <f t="shared" si="10"/>
        <v>0.03</v>
      </c>
      <c r="AA96" s="6">
        <f t="shared" si="10"/>
        <v>0.03</v>
      </c>
      <c r="AB96" s="6">
        <f t="shared" si="10"/>
        <v>0.03</v>
      </c>
      <c r="AC96" s="6">
        <f t="shared" si="10"/>
        <v>0.03</v>
      </c>
      <c r="AD96" s="6">
        <f t="shared" si="10"/>
        <v>0.03</v>
      </c>
      <c r="AE96" s="6">
        <f t="shared" si="10"/>
        <v>0.03</v>
      </c>
      <c r="AF96" s="6">
        <f t="shared" si="10"/>
        <v>0.03</v>
      </c>
      <c r="AG96" s="6">
        <f t="shared" si="10"/>
        <v>0.03</v>
      </c>
      <c r="AH96" s="6">
        <f t="shared" si="10"/>
        <v>0.03</v>
      </c>
      <c r="AI96" s="6">
        <f t="shared" si="10"/>
        <v>0.03</v>
      </c>
      <c r="AJ96" s="6">
        <f t="shared" si="10"/>
        <v>0.03</v>
      </c>
      <c r="AK96" s="6">
        <f t="shared" si="10"/>
        <v>0.03</v>
      </c>
      <c r="AL96" s="6">
        <f t="shared" si="10"/>
        <v>0.03</v>
      </c>
      <c r="AM96" s="6">
        <f t="shared" si="10"/>
        <v>0.03</v>
      </c>
      <c r="AN96" s="6">
        <f t="shared" si="10"/>
        <v>0.03</v>
      </c>
      <c r="AO96" s="6">
        <f t="shared" si="10"/>
        <v>0.03</v>
      </c>
      <c r="AP96" s="6">
        <f t="shared" si="10"/>
        <v>0.03</v>
      </c>
      <c r="AQ96" s="6">
        <f t="shared" si="10"/>
        <v>0.03</v>
      </c>
      <c r="AR96" s="6">
        <f t="shared" si="10"/>
        <v>0.03</v>
      </c>
      <c r="AS96" s="6">
        <f t="shared" si="10"/>
        <v>0.03</v>
      </c>
      <c r="AT96" s="6">
        <f t="shared" si="10"/>
        <v>0.03</v>
      </c>
      <c r="AU96" s="6">
        <f t="shared" si="10"/>
        <v>0.03</v>
      </c>
      <c r="AV96" s="6">
        <f t="shared" si="10"/>
        <v>0.03</v>
      </c>
      <c r="AW96" s="6">
        <f t="shared" si="10"/>
        <v>0.03</v>
      </c>
      <c r="AX96" s="6">
        <f t="shared" si="10"/>
        <v>0.03</v>
      </c>
      <c r="AY96" s="6">
        <f t="shared" si="10"/>
        <v>0.03</v>
      </c>
      <c r="AZ96" s="6">
        <f t="shared" si="10"/>
        <v>0.03</v>
      </c>
      <c r="BA96" s="6">
        <f t="shared" si="10"/>
        <v>0.03</v>
      </c>
      <c r="BB96" s="6">
        <f t="shared" si="10"/>
        <v>0.03</v>
      </c>
      <c r="BC96" s="6">
        <f t="shared" si="10"/>
        <v>0.03</v>
      </c>
      <c r="BD96" s="6">
        <f t="shared" si="10"/>
        <v>0.03</v>
      </c>
      <c r="BE96" s="6">
        <f t="shared" si="10"/>
        <v>0.03</v>
      </c>
      <c r="BF96" s="6">
        <f t="shared" si="10"/>
        <v>0.03</v>
      </c>
      <c r="BG96" s="6">
        <f t="shared" si="10"/>
        <v>0.03</v>
      </c>
      <c r="BH96" s="6">
        <f t="shared" si="10"/>
        <v>0.03</v>
      </c>
      <c r="BI96" s="6">
        <f t="shared" si="10"/>
        <v>0.03</v>
      </c>
      <c r="BJ96" s="6">
        <f t="shared" si="10"/>
        <v>0.03</v>
      </c>
    </row>
    <row r="97" spans="4:62" x14ac:dyDescent="0.15">
      <c r="D97" s="9" t="str">
        <f t="shared" si="9"/>
        <v>Темп роста Связь + интернет</v>
      </c>
      <c r="E97" s="12" t="s">
        <v>4</v>
      </c>
      <c r="J97" s="6">
        <v>0</v>
      </c>
      <c r="K97" s="6">
        <f t="shared" ref="K97:BJ97" si="12">K$14</f>
        <v>0.03</v>
      </c>
      <c r="L97" s="6">
        <f t="shared" si="12"/>
        <v>0.03</v>
      </c>
      <c r="M97" s="6">
        <f t="shared" si="12"/>
        <v>0.03</v>
      </c>
      <c r="N97" s="6">
        <f t="shared" si="12"/>
        <v>0.03</v>
      </c>
      <c r="O97" s="6">
        <f t="shared" si="12"/>
        <v>0.03</v>
      </c>
      <c r="P97" s="6">
        <f t="shared" si="12"/>
        <v>0.03</v>
      </c>
      <c r="Q97" s="6">
        <f t="shared" si="12"/>
        <v>0.03</v>
      </c>
      <c r="R97" s="6">
        <f t="shared" si="12"/>
        <v>0.03</v>
      </c>
      <c r="S97" s="6">
        <f t="shared" si="12"/>
        <v>0.03</v>
      </c>
      <c r="T97" s="6">
        <f t="shared" si="12"/>
        <v>0.03</v>
      </c>
      <c r="U97" s="6">
        <f t="shared" si="12"/>
        <v>0.03</v>
      </c>
      <c r="V97" s="6">
        <f t="shared" si="12"/>
        <v>0.03</v>
      </c>
      <c r="W97" s="6">
        <f t="shared" si="12"/>
        <v>0.03</v>
      </c>
      <c r="X97" s="6">
        <f t="shared" si="12"/>
        <v>0.03</v>
      </c>
      <c r="Y97" s="6">
        <f t="shared" si="12"/>
        <v>0.03</v>
      </c>
      <c r="Z97" s="6">
        <f t="shared" si="12"/>
        <v>0.03</v>
      </c>
      <c r="AA97" s="6">
        <f t="shared" si="12"/>
        <v>0.03</v>
      </c>
      <c r="AB97" s="6">
        <f t="shared" si="12"/>
        <v>0.03</v>
      </c>
      <c r="AC97" s="6">
        <f t="shared" si="12"/>
        <v>0.03</v>
      </c>
      <c r="AD97" s="6">
        <f t="shared" si="12"/>
        <v>0.03</v>
      </c>
      <c r="AE97" s="6">
        <f t="shared" si="12"/>
        <v>0.03</v>
      </c>
      <c r="AF97" s="6">
        <f t="shared" si="12"/>
        <v>0.03</v>
      </c>
      <c r="AG97" s="6">
        <f t="shared" si="12"/>
        <v>0.03</v>
      </c>
      <c r="AH97" s="6">
        <f t="shared" si="12"/>
        <v>0.03</v>
      </c>
      <c r="AI97" s="6">
        <f t="shared" si="12"/>
        <v>0.03</v>
      </c>
      <c r="AJ97" s="6">
        <f t="shared" si="12"/>
        <v>0.03</v>
      </c>
      <c r="AK97" s="6">
        <f t="shared" si="12"/>
        <v>0.03</v>
      </c>
      <c r="AL97" s="6">
        <f t="shared" si="12"/>
        <v>0.03</v>
      </c>
      <c r="AM97" s="6">
        <f t="shared" si="12"/>
        <v>0.03</v>
      </c>
      <c r="AN97" s="6">
        <f t="shared" si="12"/>
        <v>0.03</v>
      </c>
      <c r="AO97" s="6">
        <f t="shared" si="12"/>
        <v>0.03</v>
      </c>
      <c r="AP97" s="6">
        <f t="shared" si="12"/>
        <v>0.03</v>
      </c>
      <c r="AQ97" s="6">
        <f t="shared" si="12"/>
        <v>0.03</v>
      </c>
      <c r="AR97" s="6">
        <f t="shared" si="12"/>
        <v>0.03</v>
      </c>
      <c r="AS97" s="6">
        <f t="shared" si="12"/>
        <v>0.03</v>
      </c>
      <c r="AT97" s="6">
        <f t="shared" si="12"/>
        <v>0.03</v>
      </c>
      <c r="AU97" s="6">
        <f t="shared" si="12"/>
        <v>0.03</v>
      </c>
      <c r="AV97" s="6">
        <f t="shared" si="12"/>
        <v>0.03</v>
      </c>
      <c r="AW97" s="6">
        <f t="shared" si="12"/>
        <v>0.03</v>
      </c>
      <c r="AX97" s="6">
        <f t="shared" si="12"/>
        <v>0.03</v>
      </c>
      <c r="AY97" s="6">
        <f t="shared" si="12"/>
        <v>0.03</v>
      </c>
      <c r="AZ97" s="6">
        <f t="shared" si="12"/>
        <v>0.03</v>
      </c>
      <c r="BA97" s="6">
        <f t="shared" si="12"/>
        <v>0.03</v>
      </c>
      <c r="BB97" s="6">
        <f t="shared" si="12"/>
        <v>0.03</v>
      </c>
      <c r="BC97" s="6">
        <f t="shared" si="12"/>
        <v>0.03</v>
      </c>
      <c r="BD97" s="6">
        <f t="shared" si="12"/>
        <v>0.03</v>
      </c>
      <c r="BE97" s="6">
        <f t="shared" si="12"/>
        <v>0.03</v>
      </c>
      <c r="BF97" s="6">
        <f t="shared" si="12"/>
        <v>0.03</v>
      </c>
      <c r="BG97" s="6">
        <f t="shared" si="12"/>
        <v>0.03</v>
      </c>
      <c r="BH97" s="6">
        <f t="shared" si="12"/>
        <v>0.03</v>
      </c>
      <c r="BI97" s="6">
        <f t="shared" si="12"/>
        <v>0.03</v>
      </c>
      <c r="BJ97" s="6">
        <f t="shared" si="12"/>
        <v>0.03</v>
      </c>
    </row>
    <row r="98" spans="4:62" x14ac:dyDescent="0.15">
      <c r="D98" s="9" t="str">
        <f t="shared" si="9"/>
        <v>Темп роста Командировки</v>
      </c>
      <c r="E98" s="12" t="s">
        <v>4</v>
      </c>
      <c r="J98" s="6">
        <v>0</v>
      </c>
      <c r="K98" s="6">
        <f t="shared" ref="K98:BJ102" si="13">K$14</f>
        <v>0.03</v>
      </c>
      <c r="L98" s="6">
        <f t="shared" si="13"/>
        <v>0.03</v>
      </c>
      <c r="M98" s="6">
        <f t="shared" si="13"/>
        <v>0.03</v>
      </c>
      <c r="N98" s="6">
        <f t="shared" si="13"/>
        <v>0.03</v>
      </c>
      <c r="O98" s="6">
        <f t="shared" si="13"/>
        <v>0.03</v>
      </c>
      <c r="P98" s="6">
        <f t="shared" si="13"/>
        <v>0.03</v>
      </c>
      <c r="Q98" s="6">
        <f t="shared" si="13"/>
        <v>0.03</v>
      </c>
      <c r="R98" s="6">
        <f t="shared" si="13"/>
        <v>0.03</v>
      </c>
      <c r="S98" s="6">
        <f t="shared" si="13"/>
        <v>0.03</v>
      </c>
      <c r="T98" s="6">
        <f t="shared" si="13"/>
        <v>0.03</v>
      </c>
      <c r="U98" s="6">
        <f t="shared" si="13"/>
        <v>0.03</v>
      </c>
      <c r="V98" s="6">
        <f t="shared" si="13"/>
        <v>0.03</v>
      </c>
      <c r="W98" s="6">
        <f t="shared" si="13"/>
        <v>0.03</v>
      </c>
      <c r="X98" s="6">
        <f t="shared" si="13"/>
        <v>0.03</v>
      </c>
      <c r="Y98" s="6">
        <f t="shared" si="13"/>
        <v>0.03</v>
      </c>
      <c r="Z98" s="6">
        <f t="shared" si="13"/>
        <v>0.03</v>
      </c>
      <c r="AA98" s="6">
        <f t="shared" si="13"/>
        <v>0.03</v>
      </c>
      <c r="AB98" s="6">
        <f t="shared" si="13"/>
        <v>0.03</v>
      </c>
      <c r="AC98" s="6">
        <f t="shared" si="13"/>
        <v>0.03</v>
      </c>
      <c r="AD98" s="6">
        <f t="shared" si="13"/>
        <v>0.03</v>
      </c>
      <c r="AE98" s="6">
        <f t="shared" si="13"/>
        <v>0.03</v>
      </c>
      <c r="AF98" s="6">
        <f t="shared" si="13"/>
        <v>0.03</v>
      </c>
      <c r="AG98" s="6">
        <f t="shared" si="13"/>
        <v>0.03</v>
      </c>
      <c r="AH98" s="6">
        <f t="shared" si="13"/>
        <v>0.03</v>
      </c>
      <c r="AI98" s="6">
        <f t="shared" si="13"/>
        <v>0.03</v>
      </c>
      <c r="AJ98" s="6">
        <f t="shared" si="13"/>
        <v>0.03</v>
      </c>
      <c r="AK98" s="6">
        <f t="shared" si="13"/>
        <v>0.03</v>
      </c>
      <c r="AL98" s="6">
        <f t="shared" si="13"/>
        <v>0.03</v>
      </c>
      <c r="AM98" s="6">
        <f t="shared" si="13"/>
        <v>0.03</v>
      </c>
      <c r="AN98" s="6">
        <f t="shared" si="13"/>
        <v>0.03</v>
      </c>
      <c r="AO98" s="6">
        <f t="shared" si="13"/>
        <v>0.03</v>
      </c>
      <c r="AP98" s="6">
        <f t="shared" si="13"/>
        <v>0.03</v>
      </c>
      <c r="AQ98" s="6">
        <f t="shared" si="13"/>
        <v>0.03</v>
      </c>
      <c r="AR98" s="6">
        <f t="shared" si="13"/>
        <v>0.03</v>
      </c>
      <c r="AS98" s="6">
        <f t="shared" si="13"/>
        <v>0.03</v>
      </c>
      <c r="AT98" s="6">
        <f t="shared" si="13"/>
        <v>0.03</v>
      </c>
      <c r="AU98" s="6">
        <f t="shared" si="13"/>
        <v>0.03</v>
      </c>
      <c r="AV98" s="6">
        <f t="shared" si="13"/>
        <v>0.03</v>
      </c>
      <c r="AW98" s="6">
        <f t="shared" si="13"/>
        <v>0.03</v>
      </c>
      <c r="AX98" s="6">
        <f t="shared" si="13"/>
        <v>0.03</v>
      </c>
      <c r="AY98" s="6">
        <f t="shared" si="13"/>
        <v>0.03</v>
      </c>
      <c r="AZ98" s="6">
        <f t="shared" si="13"/>
        <v>0.03</v>
      </c>
      <c r="BA98" s="6">
        <f t="shared" si="13"/>
        <v>0.03</v>
      </c>
      <c r="BB98" s="6">
        <f t="shared" si="13"/>
        <v>0.03</v>
      </c>
      <c r="BC98" s="6">
        <f t="shared" si="13"/>
        <v>0.03</v>
      </c>
      <c r="BD98" s="6">
        <f t="shared" si="13"/>
        <v>0.03</v>
      </c>
      <c r="BE98" s="6">
        <f t="shared" si="13"/>
        <v>0.03</v>
      </c>
      <c r="BF98" s="6">
        <f t="shared" si="13"/>
        <v>0.03</v>
      </c>
      <c r="BG98" s="6">
        <f t="shared" si="13"/>
        <v>0.03</v>
      </c>
      <c r="BH98" s="6">
        <f t="shared" si="13"/>
        <v>0.03</v>
      </c>
      <c r="BI98" s="6">
        <f t="shared" si="13"/>
        <v>0.03</v>
      </c>
      <c r="BJ98" s="6">
        <f t="shared" si="13"/>
        <v>0.03</v>
      </c>
    </row>
    <row r="99" spans="4:62" x14ac:dyDescent="0.15">
      <c r="D99" s="9" t="str">
        <f t="shared" si="9"/>
        <v>Темп роста Прочее</v>
      </c>
      <c r="E99" s="12" t="s">
        <v>4</v>
      </c>
      <c r="J99" s="6">
        <v>0</v>
      </c>
      <c r="K99" s="6">
        <f t="shared" si="13"/>
        <v>0.03</v>
      </c>
      <c r="L99" s="6">
        <f t="shared" si="13"/>
        <v>0.03</v>
      </c>
      <c r="M99" s="6">
        <f t="shared" si="13"/>
        <v>0.03</v>
      </c>
      <c r="N99" s="6">
        <f t="shared" si="13"/>
        <v>0.03</v>
      </c>
      <c r="O99" s="6">
        <f t="shared" si="13"/>
        <v>0.03</v>
      </c>
      <c r="P99" s="6">
        <f t="shared" si="13"/>
        <v>0.03</v>
      </c>
      <c r="Q99" s="6">
        <f t="shared" si="13"/>
        <v>0.03</v>
      </c>
      <c r="R99" s="6">
        <f t="shared" si="13"/>
        <v>0.03</v>
      </c>
      <c r="S99" s="6">
        <f t="shared" si="13"/>
        <v>0.03</v>
      </c>
      <c r="T99" s="6">
        <f t="shared" si="13"/>
        <v>0.03</v>
      </c>
      <c r="U99" s="6">
        <f t="shared" si="13"/>
        <v>0.03</v>
      </c>
      <c r="V99" s="6">
        <f t="shared" si="13"/>
        <v>0.03</v>
      </c>
      <c r="W99" s="6">
        <f t="shared" si="13"/>
        <v>0.03</v>
      </c>
      <c r="X99" s="6">
        <f t="shared" si="13"/>
        <v>0.03</v>
      </c>
      <c r="Y99" s="6">
        <f t="shared" si="13"/>
        <v>0.03</v>
      </c>
      <c r="Z99" s="6">
        <f t="shared" si="13"/>
        <v>0.03</v>
      </c>
      <c r="AA99" s="6">
        <f t="shared" si="13"/>
        <v>0.03</v>
      </c>
      <c r="AB99" s="6">
        <f t="shared" si="13"/>
        <v>0.03</v>
      </c>
      <c r="AC99" s="6">
        <f t="shared" si="13"/>
        <v>0.03</v>
      </c>
      <c r="AD99" s="6">
        <f t="shared" si="13"/>
        <v>0.03</v>
      </c>
      <c r="AE99" s="6">
        <f t="shared" si="13"/>
        <v>0.03</v>
      </c>
      <c r="AF99" s="6">
        <f t="shared" si="13"/>
        <v>0.03</v>
      </c>
      <c r="AG99" s="6">
        <f t="shared" si="13"/>
        <v>0.03</v>
      </c>
      <c r="AH99" s="6">
        <f t="shared" si="13"/>
        <v>0.03</v>
      </c>
      <c r="AI99" s="6">
        <f t="shared" si="13"/>
        <v>0.03</v>
      </c>
      <c r="AJ99" s="6">
        <f t="shared" si="13"/>
        <v>0.03</v>
      </c>
      <c r="AK99" s="6">
        <f t="shared" si="13"/>
        <v>0.03</v>
      </c>
      <c r="AL99" s="6">
        <f t="shared" si="13"/>
        <v>0.03</v>
      </c>
      <c r="AM99" s="6">
        <f t="shared" si="13"/>
        <v>0.03</v>
      </c>
      <c r="AN99" s="6">
        <f t="shared" si="13"/>
        <v>0.03</v>
      </c>
      <c r="AO99" s="6">
        <f t="shared" si="13"/>
        <v>0.03</v>
      </c>
      <c r="AP99" s="6">
        <f t="shared" si="13"/>
        <v>0.03</v>
      </c>
      <c r="AQ99" s="6">
        <f t="shared" si="13"/>
        <v>0.03</v>
      </c>
      <c r="AR99" s="6">
        <f t="shared" si="13"/>
        <v>0.03</v>
      </c>
      <c r="AS99" s="6">
        <f t="shared" si="13"/>
        <v>0.03</v>
      </c>
      <c r="AT99" s="6">
        <f t="shared" si="13"/>
        <v>0.03</v>
      </c>
      <c r="AU99" s="6">
        <f t="shared" si="13"/>
        <v>0.03</v>
      </c>
      <c r="AV99" s="6">
        <f t="shared" si="13"/>
        <v>0.03</v>
      </c>
      <c r="AW99" s="6">
        <f t="shared" si="13"/>
        <v>0.03</v>
      </c>
      <c r="AX99" s="6">
        <f t="shared" si="13"/>
        <v>0.03</v>
      </c>
      <c r="AY99" s="6">
        <f t="shared" si="13"/>
        <v>0.03</v>
      </c>
      <c r="AZ99" s="6">
        <f t="shared" si="13"/>
        <v>0.03</v>
      </c>
      <c r="BA99" s="6">
        <f t="shared" si="13"/>
        <v>0.03</v>
      </c>
      <c r="BB99" s="6">
        <f t="shared" si="13"/>
        <v>0.03</v>
      </c>
      <c r="BC99" s="6">
        <f t="shared" si="13"/>
        <v>0.03</v>
      </c>
      <c r="BD99" s="6">
        <f t="shared" si="13"/>
        <v>0.03</v>
      </c>
      <c r="BE99" s="6">
        <f t="shared" si="13"/>
        <v>0.03</v>
      </c>
      <c r="BF99" s="6">
        <f t="shared" si="13"/>
        <v>0.03</v>
      </c>
      <c r="BG99" s="6">
        <f t="shared" si="13"/>
        <v>0.03</v>
      </c>
      <c r="BH99" s="6">
        <f t="shared" si="13"/>
        <v>0.03</v>
      </c>
      <c r="BI99" s="6">
        <f t="shared" si="13"/>
        <v>0.03</v>
      </c>
      <c r="BJ99" s="6">
        <f t="shared" si="13"/>
        <v>0.03</v>
      </c>
    </row>
    <row r="100" spans="4:62" x14ac:dyDescent="0.15">
      <c r="D100" s="9" t="str">
        <f t="shared" si="9"/>
        <v>Темп роста Ежемесячный расход 9</v>
      </c>
      <c r="E100" s="12" t="s">
        <v>4</v>
      </c>
      <c r="J100" s="6">
        <v>0</v>
      </c>
      <c r="K100" s="6">
        <f t="shared" si="13"/>
        <v>0.03</v>
      </c>
      <c r="L100" s="6">
        <f t="shared" si="13"/>
        <v>0.03</v>
      </c>
      <c r="M100" s="6">
        <f t="shared" si="13"/>
        <v>0.03</v>
      </c>
      <c r="N100" s="6">
        <f t="shared" si="13"/>
        <v>0.03</v>
      </c>
      <c r="O100" s="6">
        <f t="shared" si="13"/>
        <v>0.03</v>
      </c>
      <c r="P100" s="6">
        <f t="shared" si="13"/>
        <v>0.03</v>
      </c>
      <c r="Q100" s="6">
        <f t="shared" si="13"/>
        <v>0.03</v>
      </c>
      <c r="R100" s="6">
        <f t="shared" si="13"/>
        <v>0.03</v>
      </c>
      <c r="S100" s="6">
        <f t="shared" si="13"/>
        <v>0.03</v>
      </c>
      <c r="T100" s="6">
        <f t="shared" si="13"/>
        <v>0.03</v>
      </c>
      <c r="U100" s="6">
        <f t="shared" si="13"/>
        <v>0.03</v>
      </c>
      <c r="V100" s="6">
        <f t="shared" si="13"/>
        <v>0.03</v>
      </c>
      <c r="W100" s="6">
        <f t="shared" si="13"/>
        <v>0.03</v>
      </c>
      <c r="X100" s="6">
        <f t="shared" si="13"/>
        <v>0.03</v>
      </c>
      <c r="Y100" s="6">
        <f t="shared" si="13"/>
        <v>0.03</v>
      </c>
      <c r="Z100" s="6">
        <f t="shared" si="13"/>
        <v>0.03</v>
      </c>
      <c r="AA100" s="6">
        <f t="shared" si="13"/>
        <v>0.03</v>
      </c>
      <c r="AB100" s="6">
        <f t="shared" si="13"/>
        <v>0.03</v>
      </c>
      <c r="AC100" s="6">
        <f t="shared" si="13"/>
        <v>0.03</v>
      </c>
      <c r="AD100" s="6">
        <f t="shared" si="13"/>
        <v>0.03</v>
      </c>
      <c r="AE100" s="6">
        <f t="shared" si="13"/>
        <v>0.03</v>
      </c>
      <c r="AF100" s="6">
        <f t="shared" si="13"/>
        <v>0.03</v>
      </c>
      <c r="AG100" s="6">
        <f t="shared" si="13"/>
        <v>0.03</v>
      </c>
      <c r="AH100" s="6">
        <f t="shared" si="13"/>
        <v>0.03</v>
      </c>
      <c r="AI100" s="6">
        <f t="shared" si="13"/>
        <v>0.03</v>
      </c>
      <c r="AJ100" s="6">
        <f t="shared" si="13"/>
        <v>0.03</v>
      </c>
      <c r="AK100" s="6">
        <f t="shared" si="13"/>
        <v>0.03</v>
      </c>
      <c r="AL100" s="6">
        <f t="shared" si="13"/>
        <v>0.03</v>
      </c>
      <c r="AM100" s="6">
        <f t="shared" si="13"/>
        <v>0.03</v>
      </c>
      <c r="AN100" s="6">
        <f t="shared" si="13"/>
        <v>0.03</v>
      </c>
      <c r="AO100" s="6">
        <f t="shared" si="13"/>
        <v>0.03</v>
      </c>
      <c r="AP100" s="6">
        <f t="shared" si="13"/>
        <v>0.03</v>
      </c>
      <c r="AQ100" s="6">
        <f t="shared" si="13"/>
        <v>0.03</v>
      </c>
      <c r="AR100" s="6">
        <f t="shared" si="13"/>
        <v>0.03</v>
      </c>
      <c r="AS100" s="6">
        <f t="shared" si="13"/>
        <v>0.03</v>
      </c>
      <c r="AT100" s="6">
        <f t="shared" si="13"/>
        <v>0.03</v>
      </c>
      <c r="AU100" s="6">
        <f t="shared" si="13"/>
        <v>0.03</v>
      </c>
      <c r="AV100" s="6">
        <f t="shared" si="13"/>
        <v>0.03</v>
      </c>
      <c r="AW100" s="6">
        <f t="shared" si="13"/>
        <v>0.03</v>
      </c>
      <c r="AX100" s="6">
        <f t="shared" si="13"/>
        <v>0.03</v>
      </c>
      <c r="AY100" s="6">
        <f t="shared" si="13"/>
        <v>0.03</v>
      </c>
      <c r="AZ100" s="6">
        <f t="shared" si="13"/>
        <v>0.03</v>
      </c>
      <c r="BA100" s="6">
        <f t="shared" si="13"/>
        <v>0.03</v>
      </c>
      <c r="BB100" s="6">
        <f t="shared" si="13"/>
        <v>0.03</v>
      </c>
      <c r="BC100" s="6">
        <f t="shared" si="13"/>
        <v>0.03</v>
      </c>
      <c r="BD100" s="6">
        <f t="shared" si="13"/>
        <v>0.03</v>
      </c>
      <c r="BE100" s="6">
        <f t="shared" si="13"/>
        <v>0.03</v>
      </c>
      <c r="BF100" s="6">
        <f t="shared" si="13"/>
        <v>0.03</v>
      </c>
      <c r="BG100" s="6">
        <f t="shared" si="13"/>
        <v>0.03</v>
      </c>
      <c r="BH100" s="6">
        <f t="shared" si="13"/>
        <v>0.03</v>
      </c>
      <c r="BI100" s="6">
        <f t="shared" si="13"/>
        <v>0.03</v>
      </c>
      <c r="BJ100" s="6">
        <f t="shared" si="13"/>
        <v>0.03</v>
      </c>
    </row>
    <row r="101" spans="4:62" x14ac:dyDescent="0.15">
      <c r="D101" s="9" t="str">
        <f t="shared" si="9"/>
        <v>Темп роста Ежемесячный расход 10</v>
      </c>
      <c r="E101" s="12" t="s">
        <v>4</v>
      </c>
      <c r="J101" s="6">
        <v>0</v>
      </c>
      <c r="K101" s="6">
        <f t="shared" si="13"/>
        <v>0.03</v>
      </c>
      <c r="L101" s="6">
        <f t="shared" si="13"/>
        <v>0.03</v>
      </c>
      <c r="M101" s="6">
        <f t="shared" si="13"/>
        <v>0.03</v>
      </c>
      <c r="N101" s="6">
        <f t="shared" si="13"/>
        <v>0.03</v>
      </c>
      <c r="O101" s="6">
        <f t="shared" si="13"/>
        <v>0.03</v>
      </c>
      <c r="P101" s="6">
        <f t="shared" si="13"/>
        <v>0.03</v>
      </c>
      <c r="Q101" s="6">
        <f t="shared" si="13"/>
        <v>0.03</v>
      </c>
      <c r="R101" s="6">
        <f t="shared" si="13"/>
        <v>0.03</v>
      </c>
      <c r="S101" s="6">
        <f t="shared" si="13"/>
        <v>0.03</v>
      </c>
      <c r="T101" s="6">
        <f t="shared" si="13"/>
        <v>0.03</v>
      </c>
      <c r="U101" s="6">
        <f t="shared" si="13"/>
        <v>0.03</v>
      </c>
      <c r="V101" s="6">
        <f t="shared" si="13"/>
        <v>0.03</v>
      </c>
      <c r="W101" s="6">
        <f t="shared" si="13"/>
        <v>0.03</v>
      </c>
      <c r="X101" s="6">
        <f t="shared" si="13"/>
        <v>0.03</v>
      </c>
      <c r="Y101" s="6">
        <f t="shared" si="13"/>
        <v>0.03</v>
      </c>
      <c r="Z101" s="6">
        <f t="shared" si="13"/>
        <v>0.03</v>
      </c>
      <c r="AA101" s="6">
        <f t="shared" si="13"/>
        <v>0.03</v>
      </c>
      <c r="AB101" s="6">
        <f t="shared" si="13"/>
        <v>0.03</v>
      </c>
      <c r="AC101" s="6">
        <f t="shared" si="13"/>
        <v>0.03</v>
      </c>
      <c r="AD101" s="6">
        <f t="shared" si="13"/>
        <v>0.03</v>
      </c>
      <c r="AE101" s="6">
        <f t="shared" si="13"/>
        <v>0.03</v>
      </c>
      <c r="AF101" s="6">
        <f t="shared" si="13"/>
        <v>0.03</v>
      </c>
      <c r="AG101" s="6">
        <f t="shared" si="13"/>
        <v>0.03</v>
      </c>
      <c r="AH101" s="6">
        <f t="shared" si="13"/>
        <v>0.03</v>
      </c>
      <c r="AI101" s="6">
        <f t="shared" si="13"/>
        <v>0.03</v>
      </c>
      <c r="AJ101" s="6">
        <f t="shared" si="13"/>
        <v>0.03</v>
      </c>
      <c r="AK101" s="6">
        <f t="shared" si="13"/>
        <v>0.03</v>
      </c>
      <c r="AL101" s="6">
        <f t="shared" si="13"/>
        <v>0.03</v>
      </c>
      <c r="AM101" s="6">
        <f t="shared" si="13"/>
        <v>0.03</v>
      </c>
      <c r="AN101" s="6">
        <f t="shared" si="13"/>
        <v>0.03</v>
      </c>
      <c r="AO101" s="6">
        <f t="shared" si="13"/>
        <v>0.03</v>
      </c>
      <c r="AP101" s="6">
        <f t="shared" si="13"/>
        <v>0.03</v>
      </c>
      <c r="AQ101" s="6">
        <f t="shared" si="13"/>
        <v>0.03</v>
      </c>
      <c r="AR101" s="6">
        <f t="shared" si="13"/>
        <v>0.03</v>
      </c>
      <c r="AS101" s="6">
        <f t="shared" si="13"/>
        <v>0.03</v>
      </c>
      <c r="AT101" s="6">
        <f t="shared" si="13"/>
        <v>0.03</v>
      </c>
      <c r="AU101" s="6">
        <f t="shared" si="13"/>
        <v>0.03</v>
      </c>
      <c r="AV101" s="6">
        <f t="shared" si="13"/>
        <v>0.03</v>
      </c>
      <c r="AW101" s="6">
        <f t="shared" si="13"/>
        <v>0.03</v>
      </c>
      <c r="AX101" s="6">
        <f t="shared" si="13"/>
        <v>0.03</v>
      </c>
      <c r="AY101" s="6">
        <f t="shared" si="13"/>
        <v>0.03</v>
      </c>
      <c r="AZ101" s="6">
        <f t="shared" si="13"/>
        <v>0.03</v>
      </c>
      <c r="BA101" s="6">
        <f t="shared" si="13"/>
        <v>0.03</v>
      </c>
      <c r="BB101" s="6">
        <f t="shared" si="13"/>
        <v>0.03</v>
      </c>
      <c r="BC101" s="6">
        <f t="shared" si="13"/>
        <v>0.03</v>
      </c>
      <c r="BD101" s="6">
        <f t="shared" si="13"/>
        <v>0.03</v>
      </c>
      <c r="BE101" s="6">
        <f t="shared" si="13"/>
        <v>0.03</v>
      </c>
      <c r="BF101" s="6">
        <f t="shared" si="13"/>
        <v>0.03</v>
      </c>
      <c r="BG101" s="6">
        <f t="shared" si="13"/>
        <v>0.03</v>
      </c>
      <c r="BH101" s="6">
        <f t="shared" si="13"/>
        <v>0.03</v>
      </c>
      <c r="BI101" s="6">
        <f t="shared" si="13"/>
        <v>0.03</v>
      </c>
      <c r="BJ101" s="6">
        <f t="shared" si="13"/>
        <v>0.03</v>
      </c>
    </row>
    <row r="102" spans="4:62" x14ac:dyDescent="0.15">
      <c r="D102" s="9" t="str">
        <f t="shared" si="9"/>
        <v>Темп роста Ежемесячный расход 11</v>
      </c>
      <c r="E102" s="12" t="s">
        <v>4</v>
      </c>
      <c r="J102" s="6">
        <v>0</v>
      </c>
      <c r="K102" s="6">
        <f t="shared" si="13"/>
        <v>0.03</v>
      </c>
      <c r="L102" s="6">
        <f t="shared" si="13"/>
        <v>0.03</v>
      </c>
      <c r="M102" s="6">
        <f t="shared" si="13"/>
        <v>0.03</v>
      </c>
      <c r="N102" s="6">
        <f t="shared" si="13"/>
        <v>0.03</v>
      </c>
      <c r="O102" s="6">
        <f t="shared" si="13"/>
        <v>0.03</v>
      </c>
      <c r="P102" s="6">
        <f t="shared" ref="K102:BJ106" si="14">P$14</f>
        <v>0.03</v>
      </c>
      <c r="Q102" s="6">
        <f t="shared" si="14"/>
        <v>0.03</v>
      </c>
      <c r="R102" s="6">
        <f t="shared" si="14"/>
        <v>0.03</v>
      </c>
      <c r="S102" s="6">
        <f t="shared" si="14"/>
        <v>0.03</v>
      </c>
      <c r="T102" s="6">
        <f t="shared" si="14"/>
        <v>0.03</v>
      </c>
      <c r="U102" s="6">
        <f t="shared" si="14"/>
        <v>0.03</v>
      </c>
      <c r="V102" s="6">
        <f t="shared" si="14"/>
        <v>0.03</v>
      </c>
      <c r="W102" s="6">
        <f t="shared" si="14"/>
        <v>0.03</v>
      </c>
      <c r="X102" s="6">
        <f t="shared" si="14"/>
        <v>0.03</v>
      </c>
      <c r="Y102" s="6">
        <f t="shared" si="14"/>
        <v>0.03</v>
      </c>
      <c r="Z102" s="6">
        <f t="shared" si="14"/>
        <v>0.03</v>
      </c>
      <c r="AA102" s="6">
        <f t="shared" si="14"/>
        <v>0.03</v>
      </c>
      <c r="AB102" s="6">
        <f t="shared" si="14"/>
        <v>0.03</v>
      </c>
      <c r="AC102" s="6">
        <f t="shared" si="14"/>
        <v>0.03</v>
      </c>
      <c r="AD102" s="6">
        <f t="shared" si="14"/>
        <v>0.03</v>
      </c>
      <c r="AE102" s="6">
        <f t="shared" si="14"/>
        <v>0.03</v>
      </c>
      <c r="AF102" s="6">
        <f t="shared" si="14"/>
        <v>0.03</v>
      </c>
      <c r="AG102" s="6">
        <f t="shared" si="14"/>
        <v>0.03</v>
      </c>
      <c r="AH102" s="6">
        <f t="shared" si="14"/>
        <v>0.03</v>
      </c>
      <c r="AI102" s="6">
        <f t="shared" si="14"/>
        <v>0.03</v>
      </c>
      <c r="AJ102" s="6">
        <f t="shared" si="14"/>
        <v>0.03</v>
      </c>
      <c r="AK102" s="6">
        <f t="shared" si="14"/>
        <v>0.03</v>
      </c>
      <c r="AL102" s="6">
        <f t="shared" si="14"/>
        <v>0.03</v>
      </c>
      <c r="AM102" s="6">
        <f t="shared" si="14"/>
        <v>0.03</v>
      </c>
      <c r="AN102" s="6">
        <f t="shared" si="14"/>
        <v>0.03</v>
      </c>
      <c r="AO102" s="6">
        <f t="shared" si="14"/>
        <v>0.03</v>
      </c>
      <c r="AP102" s="6">
        <f t="shared" si="14"/>
        <v>0.03</v>
      </c>
      <c r="AQ102" s="6">
        <f t="shared" si="14"/>
        <v>0.03</v>
      </c>
      <c r="AR102" s="6">
        <f t="shared" si="14"/>
        <v>0.03</v>
      </c>
      <c r="AS102" s="6">
        <f t="shared" si="14"/>
        <v>0.03</v>
      </c>
      <c r="AT102" s="6">
        <f t="shared" si="14"/>
        <v>0.03</v>
      </c>
      <c r="AU102" s="6">
        <f t="shared" si="14"/>
        <v>0.03</v>
      </c>
      <c r="AV102" s="6">
        <f t="shared" si="14"/>
        <v>0.03</v>
      </c>
      <c r="AW102" s="6">
        <f t="shared" si="14"/>
        <v>0.03</v>
      </c>
      <c r="AX102" s="6">
        <f t="shared" si="14"/>
        <v>0.03</v>
      </c>
      <c r="AY102" s="6">
        <f t="shared" si="14"/>
        <v>0.03</v>
      </c>
      <c r="AZ102" s="6">
        <f t="shared" si="14"/>
        <v>0.03</v>
      </c>
      <c r="BA102" s="6">
        <f t="shared" si="14"/>
        <v>0.03</v>
      </c>
      <c r="BB102" s="6">
        <f t="shared" si="14"/>
        <v>0.03</v>
      </c>
      <c r="BC102" s="6">
        <f t="shared" si="14"/>
        <v>0.03</v>
      </c>
      <c r="BD102" s="6">
        <f t="shared" si="14"/>
        <v>0.03</v>
      </c>
      <c r="BE102" s="6">
        <f t="shared" si="14"/>
        <v>0.03</v>
      </c>
      <c r="BF102" s="6">
        <f t="shared" si="14"/>
        <v>0.03</v>
      </c>
      <c r="BG102" s="6">
        <f t="shared" si="14"/>
        <v>0.03</v>
      </c>
      <c r="BH102" s="6">
        <f t="shared" si="14"/>
        <v>0.03</v>
      </c>
      <c r="BI102" s="6">
        <f t="shared" si="14"/>
        <v>0.03</v>
      </c>
      <c r="BJ102" s="6">
        <f t="shared" si="14"/>
        <v>0.03</v>
      </c>
    </row>
    <row r="103" spans="4:62" x14ac:dyDescent="0.15">
      <c r="D103" s="9" t="str">
        <f t="shared" si="9"/>
        <v>Темп роста Ежемесячный расход 12</v>
      </c>
      <c r="E103" s="12" t="s">
        <v>4</v>
      </c>
      <c r="J103" s="6">
        <v>0</v>
      </c>
      <c r="K103" s="6">
        <f t="shared" si="14"/>
        <v>0.03</v>
      </c>
      <c r="L103" s="6">
        <f t="shared" si="14"/>
        <v>0.03</v>
      </c>
      <c r="M103" s="6">
        <f t="shared" si="14"/>
        <v>0.03</v>
      </c>
      <c r="N103" s="6">
        <f t="shared" si="14"/>
        <v>0.03</v>
      </c>
      <c r="O103" s="6">
        <f t="shared" si="14"/>
        <v>0.03</v>
      </c>
      <c r="P103" s="6">
        <f t="shared" si="14"/>
        <v>0.03</v>
      </c>
      <c r="Q103" s="6">
        <f t="shared" si="14"/>
        <v>0.03</v>
      </c>
      <c r="R103" s="6">
        <f t="shared" si="14"/>
        <v>0.03</v>
      </c>
      <c r="S103" s="6">
        <f t="shared" si="14"/>
        <v>0.03</v>
      </c>
      <c r="T103" s="6">
        <f t="shared" si="14"/>
        <v>0.03</v>
      </c>
      <c r="U103" s="6">
        <f t="shared" si="14"/>
        <v>0.03</v>
      </c>
      <c r="V103" s="6">
        <f t="shared" si="14"/>
        <v>0.03</v>
      </c>
      <c r="W103" s="6">
        <f t="shared" si="14"/>
        <v>0.03</v>
      </c>
      <c r="X103" s="6">
        <f t="shared" si="14"/>
        <v>0.03</v>
      </c>
      <c r="Y103" s="6">
        <f t="shared" si="14"/>
        <v>0.03</v>
      </c>
      <c r="Z103" s="6">
        <f t="shared" si="14"/>
        <v>0.03</v>
      </c>
      <c r="AA103" s="6">
        <f t="shared" si="14"/>
        <v>0.03</v>
      </c>
      <c r="AB103" s="6">
        <f t="shared" si="14"/>
        <v>0.03</v>
      </c>
      <c r="AC103" s="6">
        <f t="shared" si="14"/>
        <v>0.03</v>
      </c>
      <c r="AD103" s="6">
        <f t="shared" si="14"/>
        <v>0.03</v>
      </c>
      <c r="AE103" s="6">
        <f t="shared" si="14"/>
        <v>0.03</v>
      </c>
      <c r="AF103" s="6">
        <f t="shared" si="14"/>
        <v>0.03</v>
      </c>
      <c r="AG103" s="6">
        <f t="shared" si="14"/>
        <v>0.03</v>
      </c>
      <c r="AH103" s="6">
        <f t="shared" si="14"/>
        <v>0.03</v>
      </c>
      <c r="AI103" s="6">
        <f t="shared" si="14"/>
        <v>0.03</v>
      </c>
      <c r="AJ103" s="6">
        <f t="shared" si="14"/>
        <v>0.03</v>
      </c>
      <c r="AK103" s="6">
        <f t="shared" si="14"/>
        <v>0.03</v>
      </c>
      <c r="AL103" s="6">
        <f t="shared" si="14"/>
        <v>0.03</v>
      </c>
      <c r="AM103" s="6">
        <f t="shared" si="14"/>
        <v>0.03</v>
      </c>
      <c r="AN103" s="6">
        <f t="shared" si="14"/>
        <v>0.03</v>
      </c>
      <c r="AO103" s="6">
        <f t="shared" si="14"/>
        <v>0.03</v>
      </c>
      <c r="AP103" s="6">
        <f t="shared" si="14"/>
        <v>0.03</v>
      </c>
      <c r="AQ103" s="6">
        <f t="shared" si="14"/>
        <v>0.03</v>
      </c>
      <c r="AR103" s="6">
        <f t="shared" si="14"/>
        <v>0.03</v>
      </c>
      <c r="AS103" s="6">
        <f t="shared" si="14"/>
        <v>0.03</v>
      </c>
      <c r="AT103" s="6">
        <f t="shared" si="14"/>
        <v>0.03</v>
      </c>
      <c r="AU103" s="6">
        <f t="shared" si="14"/>
        <v>0.03</v>
      </c>
      <c r="AV103" s="6">
        <f t="shared" si="14"/>
        <v>0.03</v>
      </c>
      <c r="AW103" s="6">
        <f t="shared" si="14"/>
        <v>0.03</v>
      </c>
      <c r="AX103" s="6">
        <f t="shared" si="14"/>
        <v>0.03</v>
      </c>
      <c r="AY103" s="6">
        <f t="shared" si="14"/>
        <v>0.03</v>
      </c>
      <c r="AZ103" s="6">
        <f t="shared" si="14"/>
        <v>0.03</v>
      </c>
      <c r="BA103" s="6">
        <f t="shared" si="14"/>
        <v>0.03</v>
      </c>
      <c r="BB103" s="6">
        <f t="shared" si="14"/>
        <v>0.03</v>
      </c>
      <c r="BC103" s="6">
        <f t="shared" si="14"/>
        <v>0.03</v>
      </c>
      <c r="BD103" s="6">
        <f t="shared" si="14"/>
        <v>0.03</v>
      </c>
      <c r="BE103" s="6">
        <f t="shared" si="14"/>
        <v>0.03</v>
      </c>
      <c r="BF103" s="6">
        <f t="shared" si="14"/>
        <v>0.03</v>
      </c>
      <c r="BG103" s="6">
        <f t="shared" si="14"/>
        <v>0.03</v>
      </c>
      <c r="BH103" s="6">
        <f t="shared" si="14"/>
        <v>0.03</v>
      </c>
      <c r="BI103" s="6">
        <f t="shared" si="14"/>
        <v>0.03</v>
      </c>
      <c r="BJ103" s="6">
        <f t="shared" si="14"/>
        <v>0.03</v>
      </c>
    </row>
    <row r="104" spans="4:62" x14ac:dyDescent="0.15">
      <c r="D104" s="9" t="str">
        <f t="shared" si="9"/>
        <v>Темп роста Ежемесячный расход 13</v>
      </c>
      <c r="E104" s="12" t="s">
        <v>4</v>
      </c>
      <c r="J104" s="6">
        <v>0</v>
      </c>
      <c r="K104" s="6">
        <f t="shared" si="14"/>
        <v>0.03</v>
      </c>
      <c r="L104" s="6">
        <f t="shared" si="14"/>
        <v>0.03</v>
      </c>
      <c r="M104" s="6">
        <f t="shared" si="14"/>
        <v>0.03</v>
      </c>
      <c r="N104" s="6">
        <f t="shared" si="14"/>
        <v>0.03</v>
      </c>
      <c r="O104" s="6">
        <f t="shared" si="14"/>
        <v>0.03</v>
      </c>
      <c r="P104" s="6">
        <f t="shared" si="14"/>
        <v>0.03</v>
      </c>
      <c r="Q104" s="6">
        <f t="shared" si="14"/>
        <v>0.03</v>
      </c>
      <c r="R104" s="6">
        <f t="shared" si="14"/>
        <v>0.03</v>
      </c>
      <c r="S104" s="6">
        <f t="shared" si="14"/>
        <v>0.03</v>
      </c>
      <c r="T104" s="6">
        <f t="shared" si="14"/>
        <v>0.03</v>
      </c>
      <c r="U104" s="6">
        <f t="shared" si="14"/>
        <v>0.03</v>
      </c>
      <c r="V104" s="6">
        <f t="shared" si="14"/>
        <v>0.03</v>
      </c>
      <c r="W104" s="6">
        <f t="shared" si="14"/>
        <v>0.03</v>
      </c>
      <c r="X104" s="6">
        <f t="shared" si="14"/>
        <v>0.03</v>
      </c>
      <c r="Y104" s="6">
        <f t="shared" si="14"/>
        <v>0.03</v>
      </c>
      <c r="Z104" s="6">
        <f t="shared" si="14"/>
        <v>0.03</v>
      </c>
      <c r="AA104" s="6">
        <f t="shared" si="14"/>
        <v>0.03</v>
      </c>
      <c r="AB104" s="6">
        <f t="shared" si="14"/>
        <v>0.03</v>
      </c>
      <c r="AC104" s="6">
        <f t="shared" si="14"/>
        <v>0.03</v>
      </c>
      <c r="AD104" s="6">
        <f t="shared" si="14"/>
        <v>0.03</v>
      </c>
      <c r="AE104" s="6">
        <f t="shared" si="14"/>
        <v>0.03</v>
      </c>
      <c r="AF104" s="6">
        <f t="shared" si="14"/>
        <v>0.03</v>
      </c>
      <c r="AG104" s="6">
        <f t="shared" si="14"/>
        <v>0.03</v>
      </c>
      <c r="AH104" s="6">
        <f t="shared" si="14"/>
        <v>0.03</v>
      </c>
      <c r="AI104" s="6">
        <f t="shared" si="14"/>
        <v>0.03</v>
      </c>
      <c r="AJ104" s="6">
        <f t="shared" si="14"/>
        <v>0.03</v>
      </c>
      <c r="AK104" s="6">
        <f t="shared" si="14"/>
        <v>0.03</v>
      </c>
      <c r="AL104" s="6">
        <f t="shared" si="14"/>
        <v>0.03</v>
      </c>
      <c r="AM104" s="6">
        <f t="shared" si="14"/>
        <v>0.03</v>
      </c>
      <c r="AN104" s="6">
        <f t="shared" si="14"/>
        <v>0.03</v>
      </c>
      <c r="AO104" s="6">
        <f t="shared" si="14"/>
        <v>0.03</v>
      </c>
      <c r="AP104" s="6">
        <f t="shared" si="14"/>
        <v>0.03</v>
      </c>
      <c r="AQ104" s="6">
        <f t="shared" si="14"/>
        <v>0.03</v>
      </c>
      <c r="AR104" s="6">
        <f t="shared" si="14"/>
        <v>0.03</v>
      </c>
      <c r="AS104" s="6">
        <f t="shared" si="14"/>
        <v>0.03</v>
      </c>
      <c r="AT104" s="6">
        <f t="shared" si="14"/>
        <v>0.03</v>
      </c>
      <c r="AU104" s="6">
        <f t="shared" si="14"/>
        <v>0.03</v>
      </c>
      <c r="AV104" s="6">
        <f t="shared" si="14"/>
        <v>0.03</v>
      </c>
      <c r="AW104" s="6">
        <f t="shared" si="14"/>
        <v>0.03</v>
      </c>
      <c r="AX104" s="6">
        <f t="shared" si="14"/>
        <v>0.03</v>
      </c>
      <c r="AY104" s="6">
        <f t="shared" si="14"/>
        <v>0.03</v>
      </c>
      <c r="AZ104" s="6">
        <f t="shared" si="14"/>
        <v>0.03</v>
      </c>
      <c r="BA104" s="6">
        <f t="shared" si="14"/>
        <v>0.03</v>
      </c>
      <c r="BB104" s="6">
        <f t="shared" si="14"/>
        <v>0.03</v>
      </c>
      <c r="BC104" s="6">
        <f t="shared" si="14"/>
        <v>0.03</v>
      </c>
      <c r="BD104" s="6">
        <f t="shared" si="14"/>
        <v>0.03</v>
      </c>
      <c r="BE104" s="6">
        <f t="shared" si="14"/>
        <v>0.03</v>
      </c>
      <c r="BF104" s="6">
        <f t="shared" si="14"/>
        <v>0.03</v>
      </c>
      <c r="BG104" s="6">
        <f t="shared" si="14"/>
        <v>0.03</v>
      </c>
      <c r="BH104" s="6">
        <f t="shared" si="14"/>
        <v>0.03</v>
      </c>
      <c r="BI104" s="6">
        <f t="shared" si="14"/>
        <v>0.03</v>
      </c>
      <c r="BJ104" s="6">
        <f t="shared" si="14"/>
        <v>0.03</v>
      </c>
    </row>
    <row r="105" spans="4:62" x14ac:dyDescent="0.15">
      <c r="D105" s="9" t="str">
        <f t="shared" si="9"/>
        <v>Темп роста Ежемесячный расход 14</v>
      </c>
      <c r="E105" s="12" t="s">
        <v>4</v>
      </c>
      <c r="J105" s="6">
        <v>0</v>
      </c>
      <c r="K105" s="6">
        <f t="shared" si="14"/>
        <v>0.03</v>
      </c>
      <c r="L105" s="6">
        <f t="shared" si="14"/>
        <v>0.03</v>
      </c>
      <c r="M105" s="6">
        <f t="shared" si="14"/>
        <v>0.03</v>
      </c>
      <c r="N105" s="6">
        <f t="shared" si="14"/>
        <v>0.03</v>
      </c>
      <c r="O105" s="6">
        <f t="shared" si="14"/>
        <v>0.03</v>
      </c>
      <c r="P105" s="6">
        <f t="shared" si="14"/>
        <v>0.03</v>
      </c>
      <c r="Q105" s="6">
        <f t="shared" si="14"/>
        <v>0.03</v>
      </c>
      <c r="R105" s="6">
        <f t="shared" si="14"/>
        <v>0.03</v>
      </c>
      <c r="S105" s="6">
        <f t="shared" si="14"/>
        <v>0.03</v>
      </c>
      <c r="T105" s="6">
        <f t="shared" si="14"/>
        <v>0.03</v>
      </c>
      <c r="U105" s="6">
        <f t="shared" si="14"/>
        <v>0.03</v>
      </c>
      <c r="V105" s="6">
        <f t="shared" si="14"/>
        <v>0.03</v>
      </c>
      <c r="W105" s="6">
        <f t="shared" si="14"/>
        <v>0.03</v>
      </c>
      <c r="X105" s="6">
        <f t="shared" si="14"/>
        <v>0.03</v>
      </c>
      <c r="Y105" s="6">
        <f t="shared" si="14"/>
        <v>0.03</v>
      </c>
      <c r="Z105" s="6">
        <f t="shared" si="14"/>
        <v>0.03</v>
      </c>
      <c r="AA105" s="6">
        <f t="shared" si="14"/>
        <v>0.03</v>
      </c>
      <c r="AB105" s="6">
        <f t="shared" si="14"/>
        <v>0.03</v>
      </c>
      <c r="AC105" s="6">
        <f t="shared" si="14"/>
        <v>0.03</v>
      </c>
      <c r="AD105" s="6">
        <f t="shared" si="14"/>
        <v>0.03</v>
      </c>
      <c r="AE105" s="6">
        <f t="shared" si="14"/>
        <v>0.03</v>
      </c>
      <c r="AF105" s="6">
        <f t="shared" si="14"/>
        <v>0.03</v>
      </c>
      <c r="AG105" s="6">
        <f t="shared" si="14"/>
        <v>0.03</v>
      </c>
      <c r="AH105" s="6">
        <f t="shared" si="14"/>
        <v>0.03</v>
      </c>
      <c r="AI105" s="6">
        <f t="shared" si="14"/>
        <v>0.03</v>
      </c>
      <c r="AJ105" s="6">
        <f t="shared" si="14"/>
        <v>0.03</v>
      </c>
      <c r="AK105" s="6">
        <f t="shared" si="14"/>
        <v>0.03</v>
      </c>
      <c r="AL105" s="6">
        <f t="shared" si="14"/>
        <v>0.03</v>
      </c>
      <c r="AM105" s="6">
        <f t="shared" si="14"/>
        <v>0.03</v>
      </c>
      <c r="AN105" s="6">
        <f t="shared" si="14"/>
        <v>0.03</v>
      </c>
      <c r="AO105" s="6">
        <f t="shared" si="14"/>
        <v>0.03</v>
      </c>
      <c r="AP105" s="6">
        <f t="shared" si="14"/>
        <v>0.03</v>
      </c>
      <c r="AQ105" s="6">
        <f t="shared" si="14"/>
        <v>0.03</v>
      </c>
      <c r="AR105" s="6">
        <f t="shared" si="14"/>
        <v>0.03</v>
      </c>
      <c r="AS105" s="6">
        <f t="shared" si="14"/>
        <v>0.03</v>
      </c>
      <c r="AT105" s="6">
        <f t="shared" si="14"/>
        <v>0.03</v>
      </c>
      <c r="AU105" s="6">
        <f t="shared" si="14"/>
        <v>0.03</v>
      </c>
      <c r="AV105" s="6">
        <f t="shared" si="14"/>
        <v>0.03</v>
      </c>
      <c r="AW105" s="6">
        <f t="shared" si="14"/>
        <v>0.03</v>
      </c>
      <c r="AX105" s="6">
        <f t="shared" si="14"/>
        <v>0.03</v>
      </c>
      <c r="AY105" s="6">
        <f t="shared" si="14"/>
        <v>0.03</v>
      </c>
      <c r="AZ105" s="6">
        <f t="shared" si="14"/>
        <v>0.03</v>
      </c>
      <c r="BA105" s="6">
        <f t="shared" si="14"/>
        <v>0.03</v>
      </c>
      <c r="BB105" s="6">
        <f t="shared" si="14"/>
        <v>0.03</v>
      </c>
      <c r="BC105" s="6">
        <f t="shared" si="14"/>
        <v>0.03</v>
      </c>
      <c r="BD105" s="6">
        <f t="shared" si="14"/>
        <v>0.03</v>
      </c>
      <c r="BE105" s="6">
        <f t="shared" si="14"/>
        <v>0.03</v>
      </c>
      <c r="BF105" s="6">
        <f t="shared" si="14"/>
        <v>0.03</v>
      </c>
      <c r="BG105" s="6">
        <f t="shared" si="14"/>
        <v>0.03</v>
      </c>
      <c r="BH105" s="6">
        <f t="shared" si="14"/>
        <v>0.03</v>
      </c>
      <c r="BI105" s="6">
        <f t="shared" si="14"/>
        <v>0.03</v>
      </c>
      <c r="BJ105" s="6">
        <f t="shared" si="14"/>
        <v>0.03</v>
      </c>
    </row>
    <row r="106" spans="4:62" x14ac:dyDescent="0.15">
      <c r="D106" s="9" t="str">
        <f t="shared" si="9"/>
        <v>Темп роста Ежемесячный расход 15</v>
      </c>
      <c r="E106" s="12" t="s">
        <v>4</v>
      </c>
      <c r="J106" s="6">
        <v>0</v>
      </c>
      <c r="K106" s="6">
        <f t="shared" si="14"/>
        <v>0.03</v>
      </c>
      <c r="L106" s="6">
        <f t="shared" si="14"/>
        <v>0.03</v>
      </c>
      <c r="M106" s="6">
        <f t="shared" si="14"/>
        <v>0.03</v>
      </c>
      <c r="N106" s="6">
        <f t="shared" si="14"/>
        <v>0.03</v>
      </c>
      <c r="O106" s="6">
        <f t="shared" si="14"/>
        <v>0.03</v>
      </c>
      <c r="P106" s="6">
        <f t="shared" si="14"/>
        <v>0.03</v>
      </c>
      <c r="Q106" s="6">
        <f t="shared" si="14"/>
        <v>0.03</v>
      </c>
      <c r="R106" s="6">
        <f t="shared" si="14"/>
        <v>0.03</v>
      </c>
      <c r="S106" s="6">
        <f t="shared" si="14"/>
        <v>0.03</v>
      </c>
      <c r="T106" s="6">
        <f t="shared" si="14"/>
        <v>0.03</v>
      </c>
      <c r="U106" s="6">
        <f t="shared" si="14"/>
        <v>0.03</v>
      </c>
      <c r="V106" s="6">
        <f t="shared" si="14"/>
        <v>0.03</v>
      </c>
      <c r="W106" s="6">
        <f t="shared" si="14"/>
        <v>0.03</v>
      </c>
      <c r="X106" s="6">
        <f t="shared" si="14"/>
        <v>0.03</v>
      </c>
      <c r="Y106" s="6">
        <f t="shared" si="14"/>
        <v>0.03</v>
      </c>
      <c r="Z106" s="6">
        <f t="shared" si="14"/>
        <v>0.03</v>
      </c>
      <c r="AA106" s="6">
        <f t="shared" si="14"/>
        <v>0.03</v>
      </c>
      <c r="AB106" s="6">
        <f t="shared" si="14"/>
        <v>0.03</v>
      </c>
      <c r="AC106" s="6">
        <f t="shared" si="14"/>
        <v>0.03</v>
      </c>
      <c r="AD106" s="6">
        <f t="shared" si="14"/>
        <v>0.03</v>
      </c>
      <c r="AE106" s="6">
        <f t="shared" si="14"/>
        <v>0.03</v>
      </c>
      <c r="AF106" s="6">
        <f t="shared" si="14"/>
        <v>0.03</v>
      </c>
      <c r="AG106" s="6">
        <f t="shared" si="14"/>
        <v>0.03</v>
      </c>
      <c r="AH106" s="6">
        <f t="shared" si="14"/>
        <v>0.03</v>
      </c>
      <c r="AI106" s="6">
        <f t="shared" si="14"/>
        <v>0.03</v>
      </c>
      <c r="AJ106" s="6">
        <f t="shared" si="14"/>
        <v>0.03</v>
      </c>
      <c r="AK106" s="6">
        <f t="shared" si="14"/>
        <v>0.03</v>
      </c>
      <c r="AL106" s="6">
        <f t="shared" si="14"/>
        <v>0.03</v>
      </c>
      <c r="AM106" s="6">
        <f t="shared" si="14"/>
        <v>0.03</v>
      </c>
      <c r="AN106" s="6">
        <f t="shared" si="14"/>
        <v>0.03</v>
      </c>
      <c r="AO106" s="6">
        <f t="shared" si="14"/>
        <v>0.03</v>
      </c>
      <c r="AP106" s="6">
        <f t="shared" si="14"/>
        <v>0.03</v>
      </c>
      <c r="AQ106" s="6">
        <f t="shared" si="14"/>
        <v>0.03</v>
      </c>
      <c r="AR106" s="6">
        <f t="shared" si="14"/>
        <v>0.03</v>
      </c>
      <c r="AS106" s="6">
        <f t="shared" si="14"/>
        <v>0.03</v>
      </c>
      <c r="AT106" s="6">
        <f t="shared" si="14"/>
        <v>0.03</v>
      </c>
      <c r="AU106" s="6">
        <f t="shared" si="14"/>
        <v>0.03</v>
      </c>
      <c r="AV106" s="6">
        <f t="shared" si="14"/>
        <v>0.03</v>
      </c>
      <c r="AW106" s="6">
        <f t="shared" si="14"/>
        <v>0.03</v>
      </c>
      <c r="AX106" s="6">
        <f t="shared" si="14"/>
        <v>0.03</v>
      </c>
      <c r="AY106" s="6">
        <f t="shared" si="14"/>
        <v>0.03</v>
      </c>
      <c r="AZ106" s="6">
        <f t="shared" si="14"/>
        <v>0.03</v>
      </c>
      <c r="BA106" s="6">
        <f t="shared" si="14"/>
        <v>0.03</v>
      </c>
      <c r="BB106" s="6">
        <f t="shared" si="14"/>
        <v>0.03</v>
      </c>
      <c r="BC106" s="6">
        <f t="shared" si="14"/>
        <v>0.03</v>
      </c>
      <c r="BD106" s="6">
        <f t="shared" si="14"/>
        <v>0.03</v>
      </c>
      <c r="BE106" s="6">
        <f t="shared" si="14"/>
        <v>0.03</v>
      </c>
      <c r="BF106" s="6">
        <f t="shared" si="14"/>
        <v>0.03</v>
      </c>
      <c r="BG106" s="6">
        <f t="shared" si="14"/>
        <v>0.03</v>
      </c>
      <c r="BH106" s="6">
        <f t="shared" si="14"/>
        <v>0.03</v>
      </c>
      <c r="BI106" s="6">
        <f t="shared" si="14"/>
        <v>0.03</v>
      </c>
      <c r="BJ106" s="6">
        <f t="shared" si="14"/>
        <v>0.03</v>
      </c>
    </row>
    <row r="107" spans="4:62" x14ac:dyDescent="0.15">
      <c r="D107" s="9" t="str">
        <f t="shared" si="9"/>
        <v>Темп роста Ежемесячный расход 16</v>
      </c>
      <c r="E107" s="12" t="s">
        <v>4</v>
      </c>
      <c r="J107" s="6">
        <v>0</v>
      </c>
      <c r="K107" s="6">
        <f t="shared" ref="K107:BJ111" si="15">K$14</f>
        <v>0.03</v>
      </c>
      <c r="L107" s="6">
        <f t="shared" si="15"/>
        <v>0.03</v>
      </c>
      <c r="M107" s="6">
        <f t="shared" si="15"/>
        <v>0.03</v>
      </c>
      <c r="N107" s="6">
        <f t="shared" si="15"/>
        <v>0.03</v>
      </c>
      <c r="O107" s="6">
        <f t="shared" si="15"/>
        <v>0.03</v>
      </c>
      <c r="P107" s="6">
        <f t="shared" si="15"/>
        <v>0.03</v>
      </c>
      <c r="Q107" s="6">
        <f t="shared" si="15"/>
        <v>0.03</v>
      </c>
      <c r="R107" s="6">
        <f t="shared" si="15"/>
        <v>0.03</v>
      </c>
      <c r="S107" s="6">
        <f t="shared" si="15"/>
        <v>0.03</v>
      </c>
      <c r="T107" s="6">
        <f t="shared" si="15"/>
        <v>0.03</v>
      </c>
      <c r="U107" s="6">
        <f t="shared" si="15"/>
        <v>0.03</v>
      </c>
      <c r="V107" s="6">
        <f t="shared" si="15"/>
        <v>0.03</v>
      </c>
      <c r="W107" s="6">
        <f t="shared" si="15"/>
        <v>0.03</v>
      </c>
      <c r="X107" s="6">
        <f t="shared" si="15"/>
        <v>0.03</v>
      </c>
      <c r="Y107" s="6">
        <f t="shared" si="15"/>
        <v>0.03</v>
      </c>
      <c r="Z107" s="6">
        <f t="shared" si="15"/>
        <v>0.03</v>
      </c>
      <c r="AA107" s="6">
        <f t="shared" si="15"/>
        <v>0.03</v>
      </c>
      <c r="AB107" s="6">
        <f t="shared" si="15"/>
        <v>0.03</v>
      </c>
      <c r="AC107" s="6">
        <f t="shared" si="15"/>
        <v>0.03</v>
      </c>
      <c r="AD107" s="6">
        <f t="shared" si="15"/>
        <v>0.03</v>
      </c>
      <c r="AE107" s="6">
        <f t="shared" si="15"/>
        <v>0.03</v>
      </c>
      <c r="AF107" s="6">
        <f t="shared" si="15"/>
        <v>0.03</v>
      </c>
      <c r="AG107" s="6">
        <f t="shared" si="15"/>
        <v>0.03</v>
      </c>
      <c r="AH107" s="6">
        <f t="shared" si="15"/>
        <v>0.03</v>
      </c>
      <c r="AI107" s="6">
        <f t="shared" si="15"/>
        <v>0.03</v>
      </c>
      <c r="AJ107" s="6">
        <f t="shared" si="15"/>
        <v>0.03</v>
      </c>
      <c r="AK107" s="6">
        <f t="shared" si="15"/>
        <v>0.03</v>
      </c>
      <c r="AL107" s="6">
        <f t="shared" si="15"/>
        <v>0.03</v>
      </c>
      <c r="AM107" s="6">
        <f t="shared" si="15"/>
        <v>0.03</v>
      </c>
      <c r="AN107" s="6">
        <f t="shared" si="15"/>
        <v>0.03</v>
      </c>
      <c r="AO107" s="6">
        <f t="shared" si="15"/>
        <v>0.03</v>
      </c>
      <c r="AP107" s="6">
        <f t="shared" si="15"/>
        <v>0.03</v>
      </c>
      <c r="AQ107" s="6">
        <f t="shared" si="15"/>
        <v>0.03</v>
      </c>
      <c r="AR107" s="6">
        <f t="shared" si="15"/>
        <v>0.03</v>
      </c>
      <c r="AS107" s="6">
        <f t="shared" si="15"/>
        <v>0.03</v>
      </c>
      <c r="AT107" s="6">
        <f t="shared" si="15"/>
        <v>0.03</v>
      </c>
      <c r="AU107" s="6">
        <f t="shared" si="15"/>
        <v>0.03</v>
      </c>
      <c r="AV107" s="6">
        <f t="shared" si="15"/>
        <v>0.03</v>
      </c>
      <c r="AW107" s="6">
        <f t="shared" si="15"/>
        <v>0.03</v>
      </c>
      <c r="AX107" s="6">
        <f t="shared" si="15"/>
        <v>0.03</v>
      </c>
      <c r="AY107" s="6">
        <f t="shared" si="15"/>
        <v>0.03</v>
      </c>
      <c r="AZ107" s="6">
        <f t="shared" si="15"/>
        <v>0.03</v>
      </c>
      <c r="BA107" s="6">
        <f t="shared" si="15"/>
        <v>0.03</v>
      </c>
      <c r="BB107" s="6">
        <f t="shared" si="15"/>
        <v>0.03</v>
      </c>
      <c r="BC107" s="6">
        <f t="shared" si="15"/>
        <v>0.03</v>
      </c>
      <c r="BD107" s="6">
        <f t="shared" si="15"/>
        <v>0.03</v>
      </c>
      <c r="BE107" s="6">
        <f t="shared" si="15"/>
        <v>0.03</v>
      </c>
      <c r="BF107" s="6">
        <f t="shared" si="15"/>
        <v>0.03</v>
      </c>
      <c r="BG107" s="6">
        <f t="shared" si="15"/>
        <v>0.03</v>
      </c>
      <c r="BH107" s="6">
        <f t="shared" si="15"/>
        <v>0.03</v>
      </c>
      <c r="BI107" s="6">
        <f t="shared" si="15"/>
        <v>0.03</v>
      </c>
      <c r="BJ107" s="6">
        <f t="shared" si="15"/>
        <v>0.03</v>
      </c>
    </row>
    <row r="108" spans="4:62" x14ac:dyDescent="0.15">
      <c r="D108" s="9" t="str">
        <f t="shared" si="9"/>
        <v>Темп роста Ежемесячный расход 17</v>
      </c>
      <c r="E108" s="12" t="s">
        <v>4</v>
      </c>
      <c r="J108" s="6">
        <v>0</v>
      </c>
      <c r="K108" s="6">
        <f t="shared" si="15"/>
        <v>0.03</v>
      </c>
      <c r="L108" s="6">
        <f t="shared" si="15"/>
        <v>0.03</v>
      </c>
      <c r="M108" s="6">
        <f t="shared" si="15"/>
        <v>0.03</v>
      </c>
      <c r="N108" s="6">
        <f t="shared" si="15"/>
        <v>0.03</v>
      </c>
      <c r="O108" s="6">
        <f t="shared" si="15"/>
        <v>0.03</v>
      </c>
      <c r="P108" s="6">
        <f t="shared" si="15"/>
        <v>0.03</v>
      </c>
      <c r="Q108" s="6">
        <f t="shared" si="15"/>
        <v>0.03</v>
      </c>
      <c r="R108" s="6">
        <f t="shared" si="15"/>
        <v>0.03</v>
      </c>
      <c r="S108" s="6">
        <f t="shared" si="15"/>
        <v>0.03</v>
      </c>
      <c r="T108" s="6">
        <f t="shared" si="15"/>
        <v>0.03</v>
      </c>
      <c r="U108" s="6">
        <f t="shared" si="15"/>
        <v>0.03</v>
      </c>
      <c r="V108" s="6">
        <f t="shared" si="15"/>
        <v>0.03</v>
      </c>
      <c r="W108" s="6">
        <f t="shared" si="15"/>
        <v>0.03</v>
      </c>
      <c r="X108" s="6">
        <f t="shared" si="15"/>
        <v>0.03</v>
      </c>
      <c r="Y108" s="6">
        <f t="shared" si="15"/>
        <v>0.03</v>
      </c>
      <c r="Z108" s="6">
        <f t="shared" si="15"/>
        <v>0.03</v>
      </c>
      <c r="AA108" s="6">
        <f t="shared" si="15"/>
        <v>0.03</v>
      </c>
      <c r="AB108" s="6">
        <f t="shared" si="15"/>
        <v>0.03</v>
      </c>
      <c r="AC108" s="6">
        <f t="shared" si="15"/>
        <v>0.03</v>
      </c>
      <c r="AD108" s="6">
        <f t="shared" si="15"/>
        <v>0.03</v>
      </c>
      <c r="AE108" s="6">
        <f t="shared" si="15"/>
        <v>0.03</v>
      </c>
      <c r="AF108" s="6">
        <f t="shared" si="15"/>
        <v>0.03</v>
      </c>
      <c r="AG108" s="6">
        <f t="shared" si="15"/>
        <v>0.03</v>
      </c>
      <c r="AH108" s="6">
        <f t="shared" si="15"/>
        <v>0.03</v>
      </c>
      <c r="AI108" s="6">
        <f t="shared" si="15"/>
        <v>0.03</v>
      </c>
      <c r="AJ108" s="6">
        <f t="shared" si="15"/>
        <v>0.03</v>
      </c>
      <c r="AK108" s="6">
        <f t="shared" si="15"/>
        <v>0.03</v>
      </c>
      <c r="AL108" s="6">
        <f t="shared" si="15"/>
        <v>0.03</v>
      </c>
      <c r="AM108" s="6">
        <f t="shared" si="15"/>
        <v>0.03</v>
      </c>
      <c r="AN108" s="6">
        <f t="shared" si="15"/>
        <v>0.03</v>
      </c>
      <c r="AO108" s="6">
        <f t="shared" si="15"/>
        <v>0.03</v>
      </c>
      <c r="AP108" s="6">
        <f t="shared" si="15"/>
        <v>0.03</v>
      </c>
      <c r="AQ108" s="6">
        <f t="shared" si="15"/>
        <v>0.03</v>
      </c>
      <c r="AR108" s="6">
        <f t="shared" si="15"/>
        <v>0.03</v>
      </c>
      <c r="AS108" s="6">
        <f t="shared" si="15"/>
        <v>0.03</v>
      </c>
      <c r="AT108" s="6">
        <f t="shared" si="15"/>
        <v>0.03</v>
      </c>
      <c r="AU108" s="6">
        <f t="shared" si="15"/>
        <v>0.03</v>
      </c>
      <c r="AV108" s="6">
        <f t="shared" si="15"/>
        <v>0.03</v>
      </c>
      <c r="AW108" s="6">
        <f t="shared" si="15"/>
        <v>0.03</v>
      </c>
      <c r="AX108" s="6">
        <f t="shared" si="15"/>
        <v>0.03</v>
      </c>
      <c r="AY108" s="6">
        <f t="shared" si="15"/>
        <v>0.03</v>
      </c>
      <c r="AZ108" s="6">
        <f t="shared" si="15"/>
        <v>0.03</v>
      </c>
      <c r="BA108" s="6">
        <f t="shared" si="15"/>
        <v>0.03</v>
      </c>
      <c r="BB108" s="6">
        <f t="shared" si="15"/>
        <v>0.03</v>
      </c>
      <c r="BC108" s="6">
        <f t="shared" si="15"/>
        <v>0.03</v>
      </c>
      <c r="BD108" s="6">
        <f t="shared" si="15"/>
        <v>0.03</v>
      </c>
      <c r="BE108" s="6">
        <f t="shared" si="15"/>
        <v>0.03</v>
      </c>
      <c r="BF108" s="6">
        <f t="shared" si="15"/>
        <v>0.03</v>
      </c>
      <c r="BG108" s="6">
        <f t="shared" si="15"/>
        <v>0.03</v>
      </c>
      <c r="BH108" s="6">
        <f t="shared" si="15"/>
        <v>0.03</v>
      </c>
      <c r="BI108" s="6">
        <f t="shared" si="15"/>
        <v>0.03</v>
      </c>
      <c r="BJ108" s="6">
        <f t="shared" si="15"/>
        <v>0.03</v>
      </c>
    </row>
    <row r="109" spans="4:62" x14ac:dyDescent="0.15">
      <c r="D109" s="9" t="str">
        <f t="shared" si="9"/>
        <v>Темп роста Ежемесячный расход 18</v>
      </c>
      <c r="E109" s="12" t="s">
        <v>4</v>
      </c>
      <c r="J109" s="6">
        <v>0</v>
      </c>
      <c r="K109" s="6">
        <f t="shared" si="15"/>
        <v>0.03</v>
      </c>
      <c r="L109" s="6">
        <f t="shared" si="15"/>
        <v>0.03</v>
      </c>
      <c r="M109" s="6">
        <f t="shared" si="15"/>
        <v>0.03</v>
      </c>
      <c r="N109" s="6">
        <f t="shared" si="15"/>
        <v>0.03</v>
      </c>
      <c r="O109" s="6">
        <f t="shared" si="15"/>
        <v>0.03</v>
      </c>
      <c r="P109" s="6">
        <f t="shared" si="15"/>
        <v>0.03</v>
      </c>
      <c r="Q109" s="6">
        <f t="shared" si="15"/>
        <v>0.03</v>
      </c>
      <c r="R109" s="6">
        <f t="shared" si="15"/>
        <v>0.03</v>
      </c>
      <c r="S109" s="6">
        <f t="shared" si="15"/>
        <v>0.03</v>
      </c>
      <c r="T109" s="6">
        <f t="shared" si="15"/>
        <v>0.03</v>
      </c>
      <c r="U109" s="6">
        <f t="shared" si="15"/>
        <v>0.03</v>
      </c>
      <c r="V109" s="6">
        <f t="shared" si="15"/>
        <v>0.03</v>
      </c>
      <c r="W109" s="6">
        <f t="shared" si="15"/>
        <v>0.03</v>
      </c>
      <c r="X109" s="6">
        <f t="shared" si="15"/>
        <v>0.03</v>
      </c>
      <c r="Y109" s="6">
        <f t="shared" si="15"/>
        <v>0.03</v>
      </c>
      <c r="Z109" s="6">
        <f t="shared" si="15"/>
        <v>0.03</v>
      </c>
      <c r="AA109" s="6">
        <f t="shared" si="15"/>
        <v>0.03</v>
      </c>
      <c r="AB109" s="6">
        <f t="shared" si="15"/>
        <v>0.03</v>
      </c>
      <c r="AC109" s="6">
        <f t="shared" si="15"/>
        <v>0.03</v>
      </c>
      <c r="AD109" s="6">
        <f t="shared" si="15"/>
        <v>0.03</v>
      </c>
      <c r="AE109" s="6">
        <f t="shared" si="15"/>
        <v>0.03</v>
      </c>
      <c r="AF109" s="6">
        <f t="shared" si="15"/>
        <v>0.03</v>
      </c>
      <c r="AG109" s="6">
        <f t="shared" si="15"/>
        <v>0.03</v>
      </c>
      <c r="AH109" s="6">
        <f t="shared" si="15"/>
        <v>0.03</v>
      </c>
      <c r="AI109" s="6">
        <f t="shared" si="15"/>
        <v>0.03</v>
      </c>
      <c r="AJ109" s="6">
        <f t="shared" si="15"/>
        <v>0.03</v>
      </c>
      <c r="AK109" s="6">
        <f t="shared" si="15"/>
        <v>0.03</v>
      </c>
      <c r="AL109" s="6">
        <f t="shared" si="15"/>
        <v>0.03</v>
      </c>
      <c r="AM109" s="6">
        <f t="shared" si="15"/>
        <v>0.03</v>
      </c>
      <c r="AN109" s="6">
        <f t="shared" si="15"/>
        <v>0.03</v>
      </c>
      <c r="AO109" s="6">
        <f t="shared" si="15"/>
        <v>0.03</v>
      </c>
      <c r="AP109" s="6">
        <f t="shared" si="15"/>
        <v>0.03</v>
      </c>
      <c r="AQ109" s="6">
        <f t="shared" si="15"/>
        <v>0.03</v>
      </c>
      <c r="AR109" s="6">
        <f t="shared" si="15"/>
        <v>0.03</v>
      </c>
      <c r="AS109" s="6">
        <f t="shared" si="15"/>
        <v>0.03</v>
      </c>
      <c r="AT109" s="6">
        <f t="shared" si="15"/>
        <v>0.03</v>
      </c>
      <c r="AU109" s="6">
        <f t="shared" si="15"/>
        <v>0.03</v>
      </c>
      <c r="AV109" s="6">
        <f t="shared" si="15"/>
        <v>0.03</v>
      </c>
      <c r="AW109" s="6">
        <f t="shared" si="15"/>
        <v>0.03</v>
      </c>
      <c r="AX109" s="6">
        <f t="shared" si="15"/>
        <v>0.03</v>
      </c>
      <c r="AY109" s="6">
        <f t="shared" si="15"/>
        <v>0.03</v>
      </c>
      <c r="AZ109" s="6">
        <f t="shared" si="15"/>
        <v>0.03</v>
      </c>
      <c r="BA109" s="6">
        <f t="shared" si="15"/>
        <v>0.03</v>
      </c>
      <c r="BB109" s="6">
        <f t="shared" si="15"/>
        <v>0.03</v>
      </c>
      <c r="BC109" s="6">
        <f t="shared" si="15"/>
        <v>0.03</v>
      </c>
      <c r="BD109" s="6">
        <f t="shared" si="15"/>
        <v>0.03</v>
      </c>
      <c r="BE109" s="6">
        <f t="shared" si="15"/>
        <v>0.03</v>
      </c>
      <c r="BF109" s="6">
        <f t="shared" si="15"/>
        <v>0.03</v>
      </c>
      <c r="BG109" s="6">
        <f t="shared" si="15"/>
        <v>0.03</v>
      </c>
      <c r="BH109" s="6">
        <f t="shared" si="15"/>
        <v>0.03</v>
      </c>
      <c r="BI109" s="6">
        <f t="shared" si="15"/>
        <v>0.03</v>
      </c>
      <c r="BJ109" s="6">
        <f t="shared" si="15"/>
        <v>0.03</v>
      </c>
    </row>
    <row r="110" spans="4:62" x14ac:dyDescent="0.15">
      <c r="D110" s="9" t="str">
        <f t="shared" si="9"/>
        <v>Темп роста Ежемесячный расход 19</v>
      </c>
      <c r="E110" s="12" t="s">
        <v>4</v>
      </c>
      <c r="J110" s="6">
        <v>0</v>
      </c>
      <c r="K110" s="6">
        <f t="shared" si="15"/>
        <v>0.03</v>
      </c>
      <c r="L110" s="6">
        <f t="shared" si="15"/>
        <v>0.03</v>
      </c>
      <c r="M110" s="6">
        <f t="shared" si="15"/>
        <v>0.03</v>
      </c>
      <c r="N110" s="6">
        <f t="shared" si="15"/>
        <v>0.03</v>
      </c>
      <c r="O110" s="6">
        <f t="shared" si="15"/>
        <v>0.03</v>
      </c>
      <c r="P110" s="6">
        <f t="shared" si="15"/>
        <v>0.03</v>
      </c>
      <c r="Q110" s="6">
        <f t="shared" si="15"/>
        <v>0.03</v>
      </c>
      <c r="R110" s="6">
        <f t="shared" si="15"/>
        <v>0.03</v>
      </c>
      <c r="S110" s="6">
        <f t="shared" si="15"/>
        <v>0.03</v>
      </c>
      <c r="T110" s="6">
        <f t="shared" si="15"/>
        <v>0.03</v>
      </c>
      <c r="U110" s="6">
        <f t="shared" si="15"/>
        <v>0.03</v>
      </c>
      <c r="V110" s="6">
        <f t="shared" si="15"/>
        <v>0.03</v>
      </c>
      <c r="W110" s="6">
        <f t="shared" si="15"/>
        <v>0.03</v>
      </c>
      <c r="X110" s="6">
        <f t="shared" si="15"/>
        <v>0.03</v>
      </c>
      <c r="Y110" s="6">
        <f t="shared" si="15"/>
        <v>0.03</v>
      </c>
      <c r="Z110" s="6">
        <f t="shared" si="15"/>
        <v>0.03</v>
      </c>
      <c r="AA110" s="6">
        <f t="shared" si="15"/>
        <v>0.03</v>
      </c>
      <c r="AB110" s="6">
        <f t="shared" si="15"/>
        <v>0.03</v>
      </c>
      <c r="AC110" s="6">
        <f t="shared" si="15"/>
        <v>0.03</v>
      </c>
      <c r="AD110" s="6">
        <f t="shared" si="15"/>
        <v>0.03</v>
      </c>
      <c r="AE110" s="6">
        <f t="shared" si="15"/>
        <v>0.03</v>
      </c>
      <c r="AF110" s="6">
        <f t="shared" si="15"/>
        <v>0.03</v>
      </c>
      <c r="AG110" s="6">
        <f t="shared" si="15"/>
        <v>0.03</v>
      </c>
      <c r="AH110" s="6">
        <f t="shared" si="15"/>
        <v>0.03</v>
      </c>
      <c r="AI110" s="6">
        <f t="shared" si="15"/>
        <v>0.03</v>
      </c>
      <c r="AJ110" s="6">
        <f t="shared" si="15"/>
        <v>0.03</v>
      </c>
      <c r="AK110" s="6">
        <f t="shared" si="15"/>
        <v>0.03</v>
      </c>
      <c r="AL110" s="6">
        <f t="shared" si="15"/>
        <v>0.03</v>
      </c>
      <c r="AM110" s="6">
        <f t="shared" si="15"/>
        <v>0.03</v>
      </c>
      <c r="AN110" s="6">
        <f t="shared" si="15"/>
        <v>0.03</v>
      </c>
      <c r="AO110" s="6">
        <f t="shared" si="15"/>
        <v>0.03</v>
      </c>
      <c r="AP110" s="6">
        <f t="shared" si="15"/>
        <v>0.03</v>
      </c>
      <c r="AQ110" s="6">
        <f t="shared" si="15"/>
        <v>0.03</v>
      </c>
      <c r="AR110" s="6">
        <f t="shared" si="15"/>
        <v>0.03</v>
      </c>
      <c r="AS110" s="6">
        <f t="shared" si="15"/>
        <v>0.03</v>
      </c>
      <c r="AT110" s="6">
        <f t="shared" si="15"/>
        <v>0.03</v>
      </c>
      <c r="AU110" s="6">
        <f t="shared" si="15"/>
        <v>0.03</v>
      </c>
      <c r="AV110" s="6">
        <f t="shared" si="15"/>
        <v>0.03</v>
      </c>
      <c r="AW110" s="6">
        <f t="shared" si="15"/>
        <v>0.03</v>
      </c>
      <c r="AX110" s="6">
        <f t="shared" si="15"/>
        <v>0.03</v>
      </c>
      <c r="AY110" s="6">
        <f t="shared" si="15"/>
        <v>0.03</v>
      </c>
      <c r="AZ110" s="6">
        <f t="shared" si="15"/>
        <v>0.03</v>
      </c>
      <c r="BA110" s="6">
        <f t="shared" si="15"/>
        <v>0.03</v>
      </c>
      <c r="BB110" s="6">
        <f t="shared" si="15"/>
        <v>0.03</v>
      </c>
      <c r="BC110" s="6">
        <f t="shared" si="15"/>
        <v>0.03</v>
      </c>
      <c r="BD110" s="6">
        <f t="shared" si="15"/>
        <v>0.03</v>
      </c>
      <c r="BE110" s="6">
        <f t="shared" si="15"/>
        <v>0.03</v>
      </c>
      <c r="BF110" s="6">
        <f t="shared" si="15"/>
        <v>0.03</v>
      </c>
      <c r="BG110" s="6">
        <f t="shared" si="15"/>
        <v>0.03</v>
      </c>
      <c r="BH110" s="6">
        <f t="shared" si="15"/>
        <v>0.03</v>
      </c>
      <c r="BI110" s="6">
        <f t="shared" si="15"/>
        <v>0.03</v>
      </c>
      <c r="BJ110" s="6">
        <f t="shared" si="15"/>
        <v>0.03</v>
      </c>
    </row>
    <row r="111" spans="4:62" x14ac:dyDescent="0.15">
      <c r="D111" s="9" t="str">
        <f t="shared" si="9"/>
        <v>Темп роста Ежемесячный расход 20</v>
      </c>
      <c r="E111" s="12" t="s">
        <v>4</v>
      </c>
      <c r="J111" s="6">
        <v>0</v>
      </c>
      <c r="K111" s="6">
        <f t="shared" si="15"/>
        <v>0.03</v>
      </c>
      <c r="L111" s="6">
        <f t="shared" si="15"/>
        <v>0.03</v>
      </c>
      <c r="M111" s="6">
        <f t="shared" si="15"/>
        <v>0.03</v>
      </c>
      <c r="N111" s="6">
        <f t="shared" si="15"/>
        <v>0.03</v>
      </c>
      <c r="O111" s="6">
        <f t="shared" si="15"/>
        <v>0.03</v>
      </c>
      <c r="P111" s="6">
        <f t="shared" si="15"/>
        <v>0.03</v>
      </c>
      <c r="Q111" s="6">
        <f t="shared" si="15"/>
        <v>0.03</v>
      </c>
      <c r="R111" s="6">
        <f t="shared" si="15"/>
        <v>0.03</v>
      </c>
      <c r="S111" s="6">
        <f t="shared" si="15"/>
        <v>0.03</v>
      </c>
      <c r="T111" s="6">
        <f t="shared" si="15"/>
        <v>0.03</v>
      </c>
      <c r="U111" s="6">
        <f t="shared" si="15"/>
        <v>0.03</v>
      </c>
      <c r="V111" s="6">
        <f t="shared" si="15"/>
        <v>0.03</v>
      </c>
      <c r="W111" s="6">
        <f t="shared" si="15"/>
        <v>0.03</v>
      </c>
      <c r="X111" s="6">
        <f t="shared" si="15"/>
        <v>0.03</v>
      </c>
      <c r="Y111" s="6">
        <f t="shared" si="15"/>
        <v>0.03</v>
      </c>
      <c r="Z111" s="6">
        <f t="shared" si="15"/>
        <v>0.03</v>
      </c>
      <c r="AA111" s="6">
        <f t="shared" si="15"/>
        <v>0.03</v>
      </c>
      <c r="AB111" s="6">
        <f t="shared" si="15"/>
        <v>0.03</v>
      </c>
      <c r="AC111" s="6">
        <f t="shared" si="15"/>
        <v>0.03</v>
      </c>
      <c r="AD111" s="6">
        <f t="shared" si="15"/>
        <v>0.03</v>
      </c>
      <c r="AE111" s="6">
        <f t="shared" si="15"/>
        <v>0.03</v>
      </c>
      <c r="AF111" s="6">
        <f t="shared" si="15"/>
        <v>0.03</v>
      </c>
      <c r="AG111" s="6">
        <f t="shared" si="15"/>
        <v>0.03</v>
      </c>
      <c r="AH111" s="6">
        <f t="shared" si="15"/>
        <v>0.03</v>
      </c>
      <c r="AI111" s="6">
        <f t="shared" si="15"/>
        <v>0.03</v>
      </c>
      <c r="AJ111" s="6">
        <f t="shared" si="15"/>
        <v>0.03</v>
      </c>
      <c r="AK111" s="6">
        <f t="shared" si="15"/>
        <v>0.03</v>
      </c>
      <c r="AL111" s="6">
        <f t="shared" si="15"/>
        <v>0.03</v>
      </c>
      <c r="AM111" s="6">
        <f t="shared" si="15"/>
        <v>0.03</v>
      </c>
      <c r="AN111" s="6">
        <f t="shared" si="15"/>
        <v>0.03</v>
      </c>
      <c r="AO111" s="6">
        <f t="shared" si="15"/>
        <v>0.03</v>
      </c>
      <c r="AP111" s="6">
        <f t="shared" si="15"/>
        <v>0.03</v>
      </c>
      <c r="AQ111" s="6">
        <f t="shared" si="15"/>
        <v>0.03</v>
      </c>
      <c r="AR111" s="6">
        <f t="shared" si="15"/>
        <v>0.03</v>
      </c>
      <c r="AS111" s="6">
        <f t="shared" si="15"/>
        <v>0.03</v>
      </c>
      <c r="AT111" s="6">
        <f t="shared" si="15"/>
        <v>0.03</v>
      </c>
      <c r="AU111" s="6">
        <f t="shared" si="15"/>
        <v>0.03</v>
      </c>
      <c r="AV111" s="6">
        <f t="shared" si="15"/>
        <v>0.03</v>
      </c>
      <c r="AW111" s="6">
        <f t="shared" si="15"/>
        <v>0.03</v>
      </c>
      <c r="AX111" s="6">
        <f t="shared" si="15"/>
        <v>0.03</v>
      </c>
      <c r="AY111" s="6">
        <f t="shared" si="15"/>
        <v>0.03</v>
      </c>
      <c r="AZ111" s="6">
        <f t="shared" si="15"/>
        <v>0.03</v>
      </c>
      <c r="BA111" s="6">
        <f t="shared" si="15"/>
        <v>0.03</v>
      </c>
      <c r="BB111" s="6">
        <f t="shared" si="15"/>
        <v>0.03</v>
      </c>
      <c r="BC111" s="6">
        <f t="shared" si="15"/>
        <v>0.03</v>
      </c>
      <c r="BD111" s="6">
        <f t="shared" si="15"/>
        <v>0.03</v>
      </c>
      <c r="BE111" s="6">
        <f t="shared" si="15"/>
        <v>0.03</v>
      </c>
      <c r="BF111" s="6">
        <f>BF$14</f>
        <v>0.03</v>
      </c>
      <c r="BG111" s="6">
        <f>BG$14</f>
        <v>0.03</v>
      </c>
      <c r="BH111" s="6">
        <f>BH$14</f>
        <v>0.03</v>
      </c>
      <c r="BI111" s="6">
        <f>BI$14</f>
        <v>0.03</v>
      </c>
      <c r="BJ111" s="6">
        <f>BJ$14</f>
        <v>0.03</v>
      </c>
    </row>
    <row r="112" spans="4:62" collapsed="1" x14ac:dyDescent="0.15"/>
    <row r="113" spans="3:62" x14ac:dyDescent="0.15">
      <c r="C113" s="2">
        <f>MAX( $B$7:C112 ) + 0.1</f>
        <v>3.2</v>
      </c>
      <c r="D113" s="2" t="s">
        <v>17</v>
      </c>
      <c r="E113" s="14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</row>
    <row r="115" spans="3:62" ht="12" thickBot="1" x14ac:dyDescent="0.2">
      <c r="D115" s="41" t="s">
        <v>17</v>
      </c>
      <c r="F115" s="7">
        <f>SUM(F116:F125)</f>
        <v>-21000</v>
      </c>
    </row>
    <row r="116" spans="3:62" ht="12" thickTop="1" x14ac:dyDescent="0.15">
      <c r="D116" s="10" t="s">
        <v>116</v>
      </c>
      <c r="E116" s="12" t="s">
        <v>110</v>
      </c>
      <c r="F116" s="16">
        <v>-3000</v>
      </c>
    </row>
    <row r="117" spans="3:62" x14ac:dyDescent="0.15">
      <c r="D117" s="10" t="s">
        <v>117</v>
      </c>
      <c r="E117" s="12" t="s">
        <v>110</v>
      </c>
      <c r="F117" s="4">
        <v>-3000</v>
      </c>
    </row>
    <row r="118" spans="3:62" x14ac:dyDescent="0.15">
      <c r="D118" s="10" t="s">
        <v>118</v>
      </c>
      <c r="E118" s="12" t="s">
        <v>110</v>
      </c>
      <c r="F118" s="4">
        <v>-3000</v>
      </c>
    </row>
    <row r="119" spans="3:62" x14ac:dyDescent="0.15">
      <c r="D119" s="10" t="s">
        <v>119</v>
      </c>
      <c r="E119" s="12" t="s">
        <v>110</v>
      </c>
      <c r="F119" s="4">
        <v>-3000</v>
      </c>
    </row>
    <row r="120" spans="3:62" x14ac:dyDescent="0.15">
      <c r="D120" s="10" t="s">
        <v>120</v>
      </c>
      <c r="E120" s="12" t="s">
        <v>110</v>
      </c>
      <c r="F120" s="4">
        <v>-3000</v>
      </c>
    </row>
    <row r="121" spans="3:62" x14ac:dyDescent="0.15">
      <c r="D121" s="10" t="s">
        <v>121</v>
      </c>
      <c r="E121" s="12" t="s">
        <v>110</v>
      </c>
      <c r="F121" s="4">
        <v>-3000</v>
      </c>
    </row>
    <row r="122" spans="3:62" x14ac:dyDescent="0.15">
      <c r="D122" s="10" t="s">
        <v>107</v>
      </c>
      <c r="E122" s="12" t="s">
        <v>110</v>
      </c>
      <c r="F122" s="4">
        <v>-3000</v>
      </c>
    </row>
    <row r="123" spans="3:62" x14ac:dyDescent="0.15">
      <c r="D123" s="10" t="s">
        <v>122</v>
      </c>
      <c r="E123" s="12" t="s">
        <v>110</v>
      </c>
      <c r="F123" s="4">
        <v>0</v>
      </c>
    </row>
    <row r="124" spans="3:62" x14ac:dyDescent="0.15">
      <c r="D124" s="10" t="s">
        <v>15</v>
      </c>
      <c r="E124" s="12" t="s">
        <v>110</v>
      </c>
      <c r="F124" s="4">
        <v>0</v>
      </c>
    </row>
    <row r="125" spans="3:62" x14ac:dyDescent="0.15">
      <c r="D125" s="10" t="s">
        <v>16</v>
      </c>
      <c r="E125" s="12" t="s">
        <v>110</v>
      </c>
      <c r="F125" s="4">
        <v>0</v>
      </c>
    </row>
    <row r="127" spans="3:62" x14ac:dyDescent="0.15">
      <c r="D127" s="8" t="s">
        <v>18</v>
      </c>
    </row>
    <row r="128" spans="3:62" x14ac:dyDescent="0.15">
      <c r="D128" s="9" t="str">
        <f>"Темп роста " &amp; D116</f>
        <v>Темп роста Страховка</v>
      </c>
      <c r="E128" s="12" t="s">
        <v>4</v>
      </c>
      <c r="J128" s="6">
        <v>0</v>
      </c>
      <c r="K128" s="6">
        <f t="shared" ref="K128:Y128" si="16">K$14</f>
        <v>0.03</v>
      </c>
      <c r="L128" s="6">
        <f t="shared" si="16"/>
        <v>0.03</v>
      </c>
      <c r="M128" s="6">
        <f t="shared" si="16"/>
        <v>0.03</v>
      </c>
      <c r="N128" s="6">
        <f t="shared" si="16"/>
        <v>0.03</v>
      </c>
      <c r="O128" s="6">
        <f t="shared" si="16"/>
        <v>0.03</v>
      </c>
      <c r="P128" s="6">
        <f t="shared" si="16"/>
        <v>0.03</v>
      </c>
      <c r="Q128" s="6">
        <f t="shared" si="16"/>
        <v>0.03</v>
      </c>
      <c r="R128" s="6">
        <f t="shared" si="16"/>
        <v>0.03</v>
      </c>
      <c r="S128" s="6">
        <f t="shared" si="16"/>
        <v>0.03</v>
      </c>
      <c r="T128" s="6">
        <f t="shared" si="16"/>
        <v>0.03</v>
      </c>
      <c r="U128" s="6">
        <f t="shared" si="16"/>
        <v>0.03</v>
      </c>
      <c r="V128" s="6">
        <f t="shared" si="16"/>
        <v>0.03</v>
      </c>
      <c r="W128" s="6">
        <f t="shared" si="16"/>
        <v>0.03</v>
      </c>
      <c r="X128" s="6">
        <f t="shared" si="16"/>
        <v>0.03</v>
      </c>
      <c r="Y128" s="6">
        <f t="shared" si="16"/>
        <v>0.03</v>
      </c>
      <c r="Z128" s="6">
        <f t="shared" ref="K128:BJ131" si="17">Z$14</f>
        <v>0.03</v>
      </c>
      <c r="AA128" s="6">
        <f t="shared" si="17"/>
        <v>0.03</v>
      </c>
      <c r="AB128" s="6">
        <f t="shared" si="17"/>
        <v>0.03</v>
      </c>
      <c r="AC128" s="6">
        <f t="shared" si="17"/>
        <v>0.03</v>
      </c>
      <c r="AD128" s="6">
        <f t="shared" si="17"/>
        <v>0.03</v>
      </c>
      <c r="AE128" s="6">
        <f t="shared" si="17"/>
        <v>0.03</v>
      </c>
      <c r="AF128" s="6">
        <f t="shared" si="17"/>
        <v>0.03</v>
      </c>
      <c r="AG128" s="6">
        <f t="shared" si="17"/>
        <v>0.03</v>
      </c>
      <c r="AH128" s="6">
        <f t="shared" si="17"/>
        <v>0.03</v>
      </c>
      <c r="AI128" s="6">
        <f t="shared" si="17"/>
        <v>0.03</v>
      </c>
      <c r="AJ128" s="6">
        <f t="shared" si="17"/>
        <v>0.03</v>
      </c>
      <c r="AK128" s="6">
        <f t="shared" si="17"/>
        <v>0.03</v>
      </c>
      <c r="AL128" s="6">
        <f t="shared" si="17"/>
        <v>0.03</v>
      </c>
      <c r="AM128" s="6">
        <f t="shared" si="17"/>
        <v>0.03</v>
      </c>
      <c r="AN128" s="6">
        <f t="shared" si="17"/>
        <v>0.03</v>
      </c>
      <c r="AO128" s="6">
        <f t="shared" si="17"/>
        <v>0.03</v>
      </c>
      <c r="AP128" s="6">
        <f t="shared" si="17"/>
        <v>0.03</v>
      </c>
      <c r="AQ128" s="6">
        <f t="shared" si="17"/>
        <v>0.03</v>
      </c>
      <c r="AR128" s="6">
        <f t="shared" si="17"/>
        <v>0.03</v>
      </c>
      <c r="AS128" s="6">
        <f t="shared" si="17"/>
        <v>0.03</v>
      </c>
      <c r="AT128" s="6">
        <f t="shared" si="17"/>
        <v>0.03</v>
      </c>
      <c r="AU128" s="6">
        <f t="shared" si="17"/>
        <v>0.03</v>
      </c>
      <c r="AV128" s="6">
        <f t="shared" si="17"/>
        <v>0.03</v>
      </c>
      <c r="AW128" s="6">
        <f t="shared" si="17"/>
        <v>0.03</v>
      </c>
      <c r="AX128" s="6">
        <f t="shared" si="17"/>
        <v>0.03</v>
      </c>
      <c r="AY128" s="6">
        <f t="shared" si="17"/>
        <v>0.03</v>
      </c>
      <c r="AZ128" s="6">
        <f t="shared" si="17"/>
        <v>0.03</v>
      </c>
      <c r="BA128" s="6">
        <f t="shared" si="17"/>
        <v>0.03</v>
      </c>
      <c r="BB128" s="6">
        <f t="shared" si="17"/>
        <v>0.03</v>
      </c>
      <c r="BC128" s="6">
        <f t="shared" si="17"/>
        <v>0.03</v>
      </c>
      <c r="BD128" s="6">
        <f t="shared" si="17"/>
        <v>0.03</v>
      </c>
      <c r="BE128" s="6">
        <f t="shared" si="17"/>
        <v>0.03</v>
      </c>
      <c r="BF128" s="6">
        <f t="shared" si="17"/>
        <v>0.03</v>
      </c>
      <c r="BG128" s="6">
        <f t="shared" si="17"/>
        <v>0.03</v>
      </c>
      <c r="BH128" s="6">
        <f t="shared" si="17"/>
        <v>0.03</v>
      </c>
      <c r="BI128" s="6">
        <f t="shared" si="17"/>
        <v>0.03</v>
      </c>
      <c r="BJ128" s="6">
        <f t="shared" si="17"/>
        <v>0.03</v>
      </c>
    </row>
    <row r="129" spans="3:62" x14ac:dyDescent="0.15">
      <c r="D129" s="9" t="str">
        <f>"Темп роста " &amp; D117</f>
        <v>Темп роста Детский сад / школа</v>
      </c>
      <c r="E129" s="12" t="s">
        <v>4</v>
      </c>
      <c r="J129" s="6">
        <v>0</v>
      </c>
      <c r="K129" s="6">
        <f t="shared" si="17"/>
        <v>0.03</v>
      </c>
      <c r="L129" s="6">
        <f t="shared" si="17"/>
        <v>0.03</v>
      </c>
      <c r="M129" s="6">
        <f t="shared" si="17"/>
        <v>0.03</v>
      </c>
      <c r="N129" s="6">
        <f t="shared" si="17"/>
        <v>0.03</v>
      </c>
      <c r="O129" s="6">
        <f t="shared" si="17"/>
        <v>0.03</v>
      </c>
      <c r="P129" s="6">
        <f t="shared" si="17"/>
        <v>0.03</v>
      </c>
      <c r="Q129" s="6">
        <f t="shared" si="17"/>
        <v>0.03</v>
      </c>
      <c r="R129" s="6">
        <f t="shared" si="17"/>
        <v>0.03</v>
      </c>
      <c r="S129" s="6">
        <f t="shared" si="17"/>
        <v>0.03</v>
      </c>
      <c r="T129" s="6">
        <f t="shared" si="17"/>
        <v>0.03</v>
      </c>
      <c r="U129" s="6">
        <f t="shared" si="17"/>
        <v>0.03</v>
      </c>
      <c r="V129" s="6">
        <f t="shared" si="17"/>
        <v>0.03</v>
      </c>
      <c r="W129" s="6">
        <f t="shared" si="17"/>
        <v>0.03</v>
      </c>
      <c r="X129" s="6">
        <f t="shared" si="17"/>
        <v>0.03</v>
      </c>
      <c r="Y129" s="6">
        <f t="shared" si="17"/>
        <v>0.03</v>
      </c>
      <c r="Z129" s="6">
        <f t="shared" si="17"/>
        <v>0.03</v>
      </c>
      <c r="AA129" s="6">
        <f t="shared" si="17"/>
        <v>0.03</v>
      </c>
      <c r="AB129" s="6">
        <f t="shared" si="17"/>
        <v>0.03</v>
      </c>
      <c r="AC129" s="6">
        <f t="shared" si="17"/>
        <v>0.03</v>
      </c>
      <c r="AD129" s="6">
        <f t="shared" si="17"/>
        <v>0.03</v>
      </c>
      <c r="AE129" s="6">
        <f t="shared" si="17"/>
        <v>0.03</v>
      </c>
      <c r="AF129" s="6">
        <f t="shared" si="17"/>
        <v>0.03</v>
      </c>
      <c r="AG129" s="6">
        <f t="shared" si="17"/>
        <v>0.03</v>
      </c>
      <c r="AH129" s="6">
        <f t="shared" si="17"/>
        <v>0.03</v>
      </c>
      <c r="AI129" s="6">
        <f t="shared" si="17"/>
        <v>0.03</v>
      </c>
      <c r="AJ129" s="6">
        <f t="shared" si="17"/>
        <v>0.03</v>
      </c>
      <c r="AK129" s="6">
        <f t="shared" si="17"/>
        <v>0.03</v>
      </c>
      <c r="AL129" s="6">
        <f t="shared" si="17"/>
        <v>0.03</v>
      </c>
      <c r="AM129" s="6">
        <f t="shared" si="17"/>
        <v>0.03</v>
      </c>
      <c r="AN129" s="6">
        <f t="shared" si="17"/>
        <v>0.03</v>
      </c>
      <c r="AO129" s="6">
        <f t="shared" si="17"/>
        <v>0.03</v>
      </c>
      <c r="AP129" s="6">
        <f t="shared" si="17"/>
        <v>0.03</v>
      </c>
      <c r="AQ129" s="6">
        <f t="shared" si="17"/>
        <v>0.03</v>
      </c>
      <c r="AR129" s="6">
        <f t="shared" si="17"/>
        <v>0.03</v>
      </c>
      <c r="AS129" s="6">
        <f t="shared" si="17"/>
        <v>0.03</v>
      </c>
      <c r="AT129" s="6">
        <f t="shared" si="17"/>
        <v>0.03</v>
      </c>
      <c r="AU129" s="6">
        <f t="shared" si="17"/>
        <v>0.03</v>
      </c>
      <c r="AV129" s="6">
        <f t="shared" si="17"/>
        <v>0.03</v>
      </c>
      <c r="AW129" s="6">
        <f t="shared" si="17"/>
        <v>0.03</v>
      </c>
      <c r="AX129" s="6">
        <f t="shared" si="17"/>
        <v>0.03</v>
      </c>
      <c r="AY129" s="6">
        <f t="shared" si="17"/>
        <v>0.03</v>
      </c>
      <c r="AZ129" s="6">
        <f t="shared" si="17"/>
        <v>0.03</v>
      </c>
      <c r="BA129" s="6">
        <f t="shared" si="17"/>
        <v>0.03</v>
      </c>
      <c r="BB129" s="6">
        <f t="shared" si="17"/>
        <v>0.03</v>
      </c>
      <c r="BC129" s="6">
        <f t="shared" si="17"/>
        <v>0.03</v>
      </c>
      <c r="BD129" s="6">
        <f t="shared" si="17"/>
        <v>0.03</v>
      </c>
      <c r="BE129" s="6">
        <f t="shared" si="17"/>
        <v>0.03</v>
      </c>
      <c r="BF129" s="6">
        <f t="shared" si="17"/>
        <v>0.03</v>
      </c>
      <c r="BG129" s="6">
        <f t="shared" si="17"/>
        <v>0.03</v>
      </c>
      <c r="BH129" s="6">
        <f t="shared" si="17"/>
        <v>0.03</v>
      </c>
      <c r="BI129" s="6">
        <f t="shared" si="17"/>
        <v>0.03</v>
      </c>
      <c r="BJ129" s="6">
        <f t="shared" si="17"/>
        <v>0.03</v>
      </c>
    </row>
    <row r="130" spans="3:62" x14ac:dyDescent="0.15">
      <c r="D130" s="9" t="str">
        <f>"Темп роста " &amp; D118</f>
        <v>Темп роста Страховка по ипотеке</v>
      </c>
      <c r="E130" s="12" t="s">
        <v>4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>
        <v>0</v>
      </c>
      <c r="BC130" s="6">
        <v>0</v>
      </c>
      <c r="BD130" s="6">
        <v>0</v>
      </c>
      <c r="BE130" s="6">
        <v>0</v>
      </c>
      <c r="BF130" s="6">
        <v>0</v>
      </c>
      <c r="BG130" s="6">
        <v>0</v>
      </c>
      <c r="BH130" s="6">
        <v>0</v>
      </c>
      <c r="BI130" s="6">
        <v>0</v>
      </c>
      <c r="BJ130" s="6">
        <v>0</v>
      </c>
    </row>
    <row r="131" spans="3:62" x14ac:dyDescent="0.15">
      <c r="D131" s="9" t="str">
        <f>"Темп роста " &amp; D119</f>
        <v>Темп роста Отпуск</v>
      </c>
      <c r="E131" s="12" t="s">
        <v>4</v>
      </c>
      <c r="J131" s="6">
        <v>0</v>
      </c>
      <c r="K131" s="6">
        <f t="shared" si="17"/>
        <v>0.03</v>
      </c>
      <c r="L131" s="6">
        <f t="shared" si="17"/>
        <v>0.03</v>
      </c>
      <c r="M131" s="6">
        <f t="shared" si="17"/>
        <v>0.03</v>
      </c>
      <c r="N131" s="6">
        <f t="shared" si="17"/>
        <v>0.03</v>
      </c>
      <c r="O131" s="6">
        <f t="shared" si="17"/>
        <v>0.03</v>
      </c>
      <c r="P131" s="6">
        <f t="shared" si="17"/>
        <v>0.03</v>
      </c>
      <c r="Q131" s="6">
        <f t="shared" si="17"/>
        <v>0.03</v>
      </c>
      <c r="R131" s="6">
        <f t="shared" si="17"/>
        <v>0.03</v>
      </c>
      <c r="S131" s="6">
        <f t="shared" si="17"/>
        <v>0.03</v>
      </c>
      <c r="T131" s="6">
        <f t="shared" si="17"/>
        <v>0.03</v>
      </c>
      <c r="U131" s="6">
        <f t="shared" si="17"/>
        <v>0.03</v>
      </c>
      <c r="V131" s="6">
        <f t="shared" si="17"/>
        <v>0.03</v>
      </c>
      <c r="W131" s="6">
        <f t="shared" si="17"/>
        <v>0.03</v>
      </c>
      <c r="X131" s="6">
        <f t="shared" si="17"/>
        <v>0.03</v>
      </c>
      <c r="Y131" s="6">
        <f t="shared" si="17"/>
        <v>0.03</v>
      </c>
      <c r="Z131" s="6">
        <f t="shared" si="17"/>
        <v>0.03</v>
      </c>
      <c r="AA131" s="6">
        <f t="shared" si="17"/>
        <v>0.03</v>
      </c>
      <c r="AB131" s="6">
        <f t="shared" si="17"/>
        <v>0.03</v>
      </c>
      <c r="AC131" s="6">
        <f t="shared" si="17"/>
        <v>0.03</v>
      </c>
      <c r="AD131" s="6">
        <f t="shared" si="17"/>
        <v>0.03</v>
      </c>
      <c r="AE131" s="6">
        <f t="shared" si="17"/>
        <v>0.03</v>
      </c>
      <c r="AF131" s="6">
        <f t="shared" si="17"/>
        <v>0.03</v>
      </c>
      <c r="AG131" s="6">
        <f t="shared" si="17"/>
        <v>0.03</v>
      </c>
      <c r="AH131" s="6">
        <f t="shared" si="17"/>
        <v>0.03</v>
      </c>
      <c r="AI131" s="6">
        <f t="shared" si="17"/>
        <v>0.03</v>
      </c>
      <c r="AJ131" s="6">
        <f t="shared" si="17"/>
        <v>0.03</v>
      </c>
      <c r="AK131" s="6">
        <f t="shared" si="17"/>
        <v>0.03</v>
      </c>
      <c r="AL131" s="6">
        <f t="shared" si="17"/>
        <v>0.03</v>
      </c>
      <c r="AM131" s="6">
        <f t="shared" si="17"/>
        <v>0.03</v>
      </c>
      <c r="AN131" s="6">
        <f t="shared" si="17"/>
        <v>0.03</v>
      </c>
      <c r="AO131" s="6">
        <f t="shared" si="17"/>
        <v>0.03</v>
      </c>
      <c r="AP131" s="6">
        <f t="shared" si="17"/>
        <v>0.03</v>
      </c>
      <c r="AQ131" s="6">
        <f t="shared" si="17"/>
        <v>0.03</v>
      </c>
      <c r="AR131" s="6">
        <f t="shared" si="17"/>
        <v>0.03</v>
      </c>
      <c r="AS131" s="6">
        <f t="shared" si="17"/>
        <v>0.03</v>
      </c>
      <c r="AT131" s="6">
        <f t="shared" si="17"/>
        <v>0.03</v>
      </c>
      <c r="AU131" s="6">
        <f t="shared" si="17"/>
        <v>0.03</v>
      </c>
      <c r="AV131" s="6">
        <f t="shared" si="17"/>
        <v>0.03</v>
      </c>
      <c r="AW131" s="6">
        <f t="shared" si="17"/>
        <v>0.03</v>
      </c>
      <c r="AX131" s="6">
        <f t="shared" si="17"/>
        <v>0.03</v>
      </c>
      <c r="AY131" s="6">
        <f t="shared" si="17"/>
        <v>0.03</v>
      </c>
      <c r="AZ131" s="6">
        <f t="shared" si="17"/>
        <v>0.03</v>
      </c>
      <c r="BA131" s="6">
        <f t="shared" si="17"/>
        <v>0.03</v>
      </c>
      <c r="BB131" s="6">
        <f t="shared" si="17"/>
        <v>0.03</v>
      </c>
      <c r="BC131" s="6">
        <f t="shared" si="17"/>
        <v>0.03</v>
      </c>
      <c r="BD131" s="6">
        <f t="shared" si="17"/>
        <v>0.03</v>
      </c>
      <c r="BE131" s="6">
        <f t="shared" si="17"/>
        <v>0.03</v>
      </c>
      <c r="BF131" s="6">
        <f t="shared" si="17"/>
        <v>0.03</v>
      </c>
      <c r="BG131" s="6">
        <f t="shared" si="17"/>
        <v>0.03</v>
      </c>
      <c r="BH131" s="6">
        <f t="shared" si="17"/>
        <v>0.03</v>
      </c>
      <c r="BI131" s="6">
        <f t="shared" si="17"/>
        <v>0.03</v>
      </c>
      <c r="BJ131" s="6">
        <f t="shared" si="17"/>
        <v>0.03</v>
      </c>
    </row>
    <row r="132" spans="3:62" x14ac:dyDescent="0.15">
      <c r="D132" s="9" t="str">
        <f t="shared" ref="D132:D137" si="18">"Темп роста " &amp; D120</f>
        <v xml:space="preserve">Темп роста Долг 2 млн </v>
      </c>
      <c r="E132" s="12" t="s">
        <v>4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v>0</v>
      </c>
      <c r="BC132" s="6">
        <v>0</v>
      </c>
      <c r="BD132" s="6">
        <v>0</v>
      </c>
      <c r="BE132" s="6">
        <v>0</v>
      </c>
      <c r="BF132" s="6">
        <v>0</v>
      </c>
      <c r="BG132" s="6">
        <v>0</v>
      </c>
      <c r="BH132" s="6">
        <v>0</v>
      </c>
      <c r="BI132" s="6">
        <v>0</v>
      </c>
      <c r="BJ132" s="6">
        <v>0</v>
      </c>
    </row>
    <row r="133" spans="3:62" x14ac:dyDescent="0.15">
      <c r="D133" s="9" t="str">
        <f t="shared" si="18"/>
        <v>Темп роста Долг за квартиру</v>
      </c>
      <c r="E133" s="12" t="s">
        <v>4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6">
        <v>0</v>
      </c>
      <c r="BD133" s="6">
        <v>0</v>
      </c>
      <c r="BE133" s="6">
        <v>0</v>
      </c>
      <c r="BF133" s="6">
        <v>0</v>
      </c>
      <c r="BG133" s="6">
        <v>0</v>
      </c>
      <c r="BH133" s="6">
        <v>0</v>
      </c>
      <c r="BI133" s="6">
        <v>0</v>
      </c>
      <c r="BJ133" s="6">
        <v>0</v>
      </c>
    </row>
    <row r="134" spans="3:62" x14ac:dyDescent="0.15">
      <c r="D134" s="9" t="str">
        <f t="shared" si="18"/>
        <v>Темп роста Подарки</v>
      </c>
      <c r="E134" s="12" t="s">
        <v>4</v>
      </c>
      <c r="J134" s="6">
        <v>0</v>
      </c>
      <c r="K134" s="6">
        <f t="shared" ref="K134:BJ137" si="19">K$14</f>
        <v>0.03</v>
      </c>
      <c r="L134" s="6">
        <f t="shared" si="19"/>
        <v>0.03</v>
      </c>
      <c r="M134" s="6">
        <f t="shared" si="19"/>
        <v>0.03</v>
      </c>
      <c r="N134" s="6">
        <f t="shared" si="19"/>
        <v>0.03</v>
      </c>
      <c r="O134" s="6">
        <f t="shared" si="19"/>
        <v>0.03</v>
      </c>
      <c r="P134" s="6">
        <f t="shared" si="19"/>
        <v>0.03</v>
      </c>
      <c r="Q134" s="6">
        <f t="shared" si="19"/>
        <v>0.03</v>
      </c>
      <c r="R134" s="6">
        <f t="shared" si="19"/>
        <v>0.03</v>
      </c>
      <c r="S134" s="6">
        <f t="shared" si="19"/>
        <v>0.03</v>
      </c>
      <c r="T134" s="6">
        <f t="shared" si="19"/>
        <v>0.03</v>
      </c>
      <c r="U134" s="6">
        <f t="shared" si="19"/>
        <v>0.03</v>
      </c>
      <c r="V134" s="6">
        <f t="shared" si="19"/>
        <v>0.03</v>
      </c>
      <c r="W134" s="6">
        <f t="shared" si="19"/>
        <v>0.03</v>
      </c>
      <c r="X134" s="6">
        <f t="shared" si="19"/>
        <v>0.03</v>
      </c>
      <c r="Y134" s="6">
        <f t="shared" si="19"/>
        <v>0.03</v>
      </c>
      <c r="Z134" s="6">
        <f t="shared" si="19"/>
        <v>0.03</v>
      </c>
      <c r="AA134" s="6">
        <f t="shared" si="19"/>
        <v>0.03</v>
      </c>
      <c r="AB134" s="6">
        <f t="shared" si="19"/>
        <v>0.03</v>
      </c>
      <c r="AC134" s="6">
        <f t="shared" si="19"/>
        <v>0.03</v>
      </c>
      <c r="AD134" s="6">
        <f t="shared" si="19"/>
        <v>0.03</v>
      </c>
      <c r="AE134" s="6">
        <f t="shared" si="19"/>
        <v>0.03</v>
      </c>
      <c r="AF134" s="6">
        <f t="shared" si="19"/>
        <v>0.03</v>
      </c>
      <c r="AG134" s="6">
        <f t="shared" si="19"/>
        <v>0.03</v>
      </c>
      <c r="AH134" s="6">
        <f t="shared" si="19"/>
        <v>0.03</v>
      </c>
      <c r="AI134" s="6">
        <f t="shared" si="19"/>
        <v>0.03</v>
      </c>
      <c r="AJ134" s="6">
        <f t="shared" si="19"/>
        <v>0.03</v>
      </c>
      <c r="AK134" s="6">
        <f t="shared" si="19"/>
        <v>0.03</v>
      </c>
      <c r="AL134" s="6">
        <f t="shared" si="19"/>
        <v>0.03</v>
      </c>
      <c r="AM134" s="6">
        <f t="shared" si="19"/>
        <v>0.03</v>
      </c>
      <c r="AN134" s="6">
        <f t="shared" si="19"/>
        <v>0.03</v>
      </c>
      <c r="AO134" s="6">
        <f t="shared" si="19"/>
        <v>0.03</v>
      </c>
      <c r="AP134" s="6">
        <f t="shared" si="19"/>
        <v>0.03</v>
      </c>
      <c r="AQ134" s="6">
        <f t="shared" si="19"/>
        <v>0.03</v>
      </c>
      <c r="AR134" s="6">
        <f t="shared" si="19"/>
        <v>0.03</v>
      </c>
      <c r="AS134" s="6">
        <f t="shared" si="19"/>
        <v>0.03</v>
      </c>
      <c r="AT134" s="6">
        <f t="shared" si="19"/>
        <v>0.03</v>
      </c>
      <c r="AU134" s="6">
        <f t="shared" si="19"/>
        <v>0.03</v>
      </c>
      <c r="AV134" s="6">
        <f t="shared" si="19"/>
        <v>0.03</v>
      </c>
      <c r="AW134" s="6">
        <f t="shared" si="19"/>
        <v>0.03</v>
      </c>
      <c r="AX134" s="6">
        <f t="shared" si="19"/>
        <v>0.03</v>
      </c>
      <c r="AY134" s="6">
        <f t="shared" si="19"/>
        <v>0.03</v>
      </c>
      <c r="AZ134" s="6">
        <f t="shared" si="19"/>
        <v>0.03</v>
      </c>
      <c r="BA134" s="6">
        <f t="shared" si="19"/>
        <v>0.03</v>
      </c>
      <c r="BB134" s="6">
        <f t="shared" si="19"/>
        <v>0.03</v>
      </c>
      <c r="BC134" s="6">
        <f t="shared" si="19"/>
        <v>0.03</v>
      </c>
      <c r="BD134" s="6">
        <f t="shared" si="19"/>
        <v>0.03</v>
      </c>
      <c r="BE134" s="6">
        <f t="shared" si="19"/>
        <v>0.03</v>
      </c>
      <c r="BF134" s="6">
        <f t="shared" si="19"/>
        <v>0.03</v>
      </c>
      <c r="BG134" s="6">
        <f t="shared" si="19"/>
        <v>0.03</v>
      </c>
      <c r="BH134" s="6">
        <f t="shared" si="19"/>
        <v>0.03</v>
      </c>
      <c r="BI134" s="6">
        <f t="shared" si="19"/>
        <v>0.03</v>
      </c>
      <c r="BJ134" s="6">
        <f t="shared" si="19"/>
        <v>0.03</v>
      </c>
    </row>
    <row r="135" spans="3:62" x14ac:dyDescent="0.15">
      <c r="D135" s="9" t="str">
        <f t="shared" si="18"/>
        <v>Темп роста Ежегодный расход 8</v>
      </c>
      <c r="E135" s="12" t="s">
        <v>4</v>
      </c>
      <c r="J135" s="6">
        <v>0</v>
      </c>
      <c r="K135" s="6">
        <f t="shared" si="19"/>
        <v>0.03</v>
      </c>
      <c r="L135" s="6">
        <f t="shared" si="19"/>
        <v>0.03</v>
      </c>
      <c r="M135" s="6">
        <f t="shared" si="19"/>
        <v>0.03</v>
      </c>
      <c r="N135" s="6">
        <f t="shared" si="19"/>
        <v>0.03</v>
      </c>
      <c r="O135" s="6">
        <f t="shared" si="19"/>
        <v>0.03</v>
      </c>
      <c r="P135" s="6">
        <f t="shared" si="19"/>
        <v>0.03</v>
      </c>
      <c r="Q135" s="6">
        <f t="shared" si="19"/>
        <v>0.03</v>
      </c>
      <c r="R135" s="6">
        <f t="shared" si="19"/>
        <v>0.03</v>
      </c>
      <c r="S135" s="6">
        <f t="shared" si="19"/>
        <v>0.03</v>
      </c>
      <c r="T135" s="6">
        <f t="shared" si="19"/>
        <v>0.03</v>
      </c>
      <c r="U135" s="6">
        <f t="shared" si="19"/>
        <v>0.03</v>
      </c>
      <c r="V135" s="6">
        <f t="shared" si="19"/>
        <v>0.03</v>
      </c>
      <c r="W135" s="6">
        <f t="shared" si="19"/>
        <v>0.03</v>
      </c>
      <c r="X135" s="6">
        <f t="shared" si="19"/>
        <v>0.03</v>
      </c>
      <c r="Y135" s="6">
        <f t="shared" si="19"/>
        <v>0.03</v>
      </c>
      <c r="Z135" s="6">
        <f t="shared" si="19"/>
        <v>0.03</v>
      </c>
      <c r="AA135" s="6">
        <f t="shared" si="19"/>
        <v>0.03</v>
      </c>
      <c r="AB135" s="6">
        <f t="shared" si="19"/>
        <v>0.03</v>
      </c>
      <c r="AC135" s="6">
        <f t="shared" si="19"/>
        <v>0.03</v>
      </c>
      <c r="AD135" s="6">
        <f t="shared" si="19"/>
        <v>0.03</v>
      </c>
      <c r="AE135" s="6">
        <f t="shared" si="19"/>
        <v>0.03</v>
      </c>
      <c r="AF135" s="6">
        <f t="shared" si="19"/>
        <v>0.03</v>
      </c>
      <c r="AG135" s="6">
        <f t="shared" si="19"/>
        <v>0.03</v>
      </c>
      <c r="AH135" s="6">
        <f t="shared" si="19"/>
        <v>0.03</v>
      </c>
      <c r="AI135" s="6">
        <f t="shared" si="19"/>
        <v>0.03</v>
      </c>
      <c r="AJ135" s="6">
        <f t="shared" si="19"/>
        <v>0.03</v>
      </c>
      <c r="AK135" s="6">
        <f t="shared" si="19"/>
        <v>0.03</v>
      </c>
      <c r="AL135" s="6">
        <f t="shared" si="19"/>
        <v>0.03</v>
      </c>
      <c r="AM135" s="6">
        <f t="shared" si="19"/>
        <v>0.03</v>
      </c>
      <c r="AN135" s="6">
        <f t="shared" si="19"/>
        <v>0.03</v>
      </c>
      <c r="AO135" s="6">
        <f t="shared" si="19"/>
        <v>0.03</v>
      </c>
      <c r="AP135" s="6">
        <f t="shared" si="19"/>
        <v>0.03</v>
      </c>
      <c r="AQ135" s="6">
        <f t="shared" si="19"/>
        <v>0.03</v>
      </c>
      <c r="AR135" s="6">
        <f t="shared" si="19"/>
        <v>0.03</v>
      </c>
      <c r="AS135" s="6">
        <f t="shared" si="19"/>
        <v>0.03</v>
      </c>
      <c r="AT135" s="6">
        <f t="shared" si="19"/>
        <v>0.03</v>
      </c>
      <c r="AU135" s="6">
        <f t="shared" si="19"/>
        <v>0.03</v>
      </c>
      <c r="AV135" s="6">
        <f t="shared" si="19"/>
        <v>0.03</v>
      </c>
      <c r="AW135" s="6">
        <f t="shared" si="19"/>
        <v>0.03</v>
      </c>
      <c r="AX135" s="6">
        <f t="shared" si="19"/>
        <v>0.03</v>
      </c>
      <c r="AY135" s="6">
        <f t="shared" si="19"/>
        <v>0.03</v>
      </c>
      <c r="AZ135" s="6">
        <f t="shared" si="19"/>
        <v>0.03</v>
      </c>
      <c r="BA135" s="6">
        <f t="shared" si="19"/>
        <v>0.03</v>
      </c>
      <c r="BB135" s="6">
        <f t="shared" si="19"/>
        <v>0.03</v>
      </c>
      <c r="BC135" s="6">
        <f t="shared" si="19"/>
        <v>0.03</v>
      </c>
      <c r="BD135" s="6">
        <f t="shared" si="19"/>
        <v>0.03</v>
      </c>
      <c r="BE135" s="6">
        <f t="shared" si="19"/>
        <v>0.03</v>
      </c>
      <c r="BF135" s="6">
        <f t="shared" si="19"/>
        <v>0.03</v>
      </c>
      <c r="BG135" s="6">
        <f t="shared" si="19"/>
        <v>0.03</v>
      </c>
      <c r="BH135" s="6">
        <f t="shared" si="19"/>
        <v>0.03</v>
      </c>
      <c r="BI135" s="6">
        <f t="shared" si="19"/>
        <v>0.03</v>
      </c>
      <c r="BJ135" s="6">
        <f t="shared" si="19"/>
        <v>0.03</v>
      </c>
    </row>
    <row r="136" spans="3:62" x14ac:dyDescent="0.15">
      <c r="D136" s="9" t="str">
        <f t="shared" si="18"/>
        <v>Темп роста Ежегодный расход 9</v>
      </c>
      <c r="E136" s="12" t="s">
        <v>4</v>
      </c>
      <c r="J136" s="6">
        <v>0</v>
      </c>
      <c r="K136" s="6">
        <f t="shared" si="19"/>
        <v>0.03</v>
      </c>
      <c r="L136" s="6">
        <f t="shared" si="19"/>
        <v>0.03</v>
      </c>
      <c r="M136" s="6">
        <f t="shared" si="19"/>
        <v>0.03</v>
      </c>
      <c r="N136" s="6">
        <f t="shared" si="19"/>
        <v>0.03</v>
      </c>
      <c r="O136" s="6">
        <f t="shared" si="19"/>
        <v>0.03</v>
      </c>
      <c r="P136" s="6">
        <f t="shared" si="19"/>
        <v>0.03</v>
      </c>
      <c r="Q136" s="6">
        <f t="shared" si="19"/>
        <v>0.03</v>
      </c>
      <c r="R136" s="6">
        <f t="shared" si="19"/>
        <v>0.03</v>
      </c>
      <c r="S136" s="6">
        <f t="shared" si="19"/>
        <v>0.03</v>
      </c>
      <c r="T136" s="6">
        <f t="shared" si="19"/>
        <v>0.03</v>
      </c>
      <c r="U136" s="6">
        <f t="shared" si="19"/>
        <v>0.03</v>
      </c>
      <c r="V136" s="6">
        <f t="shared" si="19"/>
        <v>0.03</v>
      </c>
      <c r="W136" s="6">
        <f t="shared" si="19"/>
        <v>0.03</v>
      </c>
      <c r="X136" s="6">
        <f t="shared" si="19"/>
        <v>0.03</v>
      </c>
      <c r="Y136" s="6">
        <f t="shared" si="19"/>
        <v>0.03</v>
      </c>
      <c r="Z136" s="6">
        <f t="shared" si="19"/>
        <v>0.03</v>
      </c>
      <c r="AA136" s="6">
        <f t="shared" si="19"/>
        <v>0.03</v>
      </c>
      <c r="AB136" s="6">
        <f t="shared" si="19"/>
        <v>0.03</v>
      </c>
      <c r="AC136" s="6">
        <f t="shared" si="19"/>
        <v>0.03</v>
      </c>
      <c r="AD136" s="6">
        <f t="shared" si="19"/>
        <v>0.03</v>
      </c>
      <c r="AE136" s="6">
        <f t="shared" si="19"/>
        <v>0.03</v>
      </c>
      <c r="AF136" s="6">
        <f t="shared" si="19"/>
        <v>0.03</v>
      </c>
      <c r="AG136" s="6">
        <f t="shared" si="19"/>
        <v>0.03</v>
      </c>
      <c r="AH136" s="6">
        <f t="shared" si="19"/>
        <v>0.03</v>
      </c>
      <c r="AI136" s="6">
        <f t="shared" si="19"/>
        <v>0.03</v>
      </c>
      <c r="AJ136" s="6">
        <f t="shared" si="19"/>
        <v>0.03</v>
      </c>
      <c r="AK136" s="6">
        <f t="shared" si="19"/>
        <v>0.03</v>
      </c>
      <c r="AL136" s="6">
        <f t="shared" si="19"/>
        <v>0.03</v>
      </c>
      <c r="AM136" s="6">
        <f t="shared" si="19"/>
        <v>0.03</v>
      </c>
      <c r="AN136" s="6">
        <f t="shared" si="19"/>
        <v>0.03</v>
      </c>
      <c r="AO136" s="6">
        <f t="shared" si="19"/>
        <v>0.03</v>
      </c>
      <c r="AP136" s="6">
        <f t="shared" si="19"/>
        <v>0.03</v>
      </c>
      <c r="AQ136" s="6">
        <f t="shared" si="19"/>
        <v>0.03</v>
      </c>
      <c r="AR136" s="6">
        <f t="shared" si="19"/>
        <v>0.03</v>
      </c>
      <c r="AS136" s="6">
        <f t="shared" si="19"/>
        <v>0.03</v>
      </c>
      <c r="AT136" s="6">
        <f t="shared" si="19"/>
        <v>0.03</v>
      </c>
      <c r="AU136" s="6">
        <f t="shared" si="19"/>
        <v>0.03</v>
      </c>
      <c r="AV136" s="6">
        <f t="shared" si="19"/>
        <v>0.03</v>
      </c>
      <c r="AW136" s="6">
        <f t="shared" si="19"/>
        <v>0.03</v>
      </c>
      <c r="AX136" s="6">
        <f t="shared" si="19"/>
        <v>0.03</v>
      </c>
      <c r="AY136" s="6">
        <f t="shared" si="19"/>
        <v>0.03</v>
      </c>
      <c r="AZ136" s="6">
        <f t="shared" si="19"/>
        <v>0.03</v>
      </c>
      <c r="BA136" s="6">
        <f t="shared" si="19"/>
        <v>0.03</v>
      </c>
      <c r="BB136" s="6">
        <f t="shared" si="19"/>
        <v>0.03</v>
      </c>
      <c r="BC136" s="6">
        <f t="shared" si="19"/>
        <v>0.03</v>
      </c>
      <c r="BD136" s="6">
        <f t="shared" si="19"/>
        <v>0.03</v>
      </c>
      <c r="BE136" s="6">
        <f t="shared" si="19"/>
        <v>0.03</v>
      </c>
      <c r="BF136" s="6">
        <f t="shared" si="19"/>
        <v>0.03</v>
      </c>
      <c r="BG136" s="6">
        <f t="shared" si="19"/>
        <v>0.03</v>
      </c>
      <c r="BH136" s="6">
        <f t="shared" si="19"/>
        <v>0.03</v>
      </c>
      <c r="BI136" s="6">
        <f t="shared" si="19"/>
        <v>0.03</v>
      </c>
      <c r="BJ136" s="6">
        <f t="shared" si="19"/>
        <v>0.03</v>
      </c>
    </row>
    <row r="137" spans="3:62" x14ac:dyDescent="0.15">
      <c r="D137" s="9" t="str">
        <f t="shared" si="18"/>
        <v>Темп роста Ежегодный расход 10</v>
      </c>
      <c r="E137" s="12" t="s">
        <v>4</v>
      </c>
      <c r="J137" s="6">
        <v>0</v>
      </c>
      <c r="K137" s="6">
        <f t="shared" si="19"/>
        <v>0.03</v>
      </c>
      <c r="L137" s="6">
        <f t="shared" si="19"/>
        <v>0.03</v>
      </c>
      <c r="M137" s="6">
        <f t="shared" si="19"/>
        <v>0.03</v>
      </c>
      <c r="N137" s="6">
        <f t="shared" si="19"/>
        <v>0.03</v>
      </c>
      <c r="O137" s="6">
        <f t="shared" si="19"/>
        <v>0.03</v>
      </c>
      <c r="P137" s="6">
        <f t="shared" si="19"/>
        <v>0.03</v>
      </c>
      <c r="Q137" s="6">
        <f t="shared" si="19"/>
        <v>0.03</v>
      </c>
      <c r="R137" s="6">
        <f t="shared" si="19"/>
        <v>0.03</v>
      </c>
      <c r="S137" s="6">
        <f t="shared" si="19"/>
        <v>0.03</v>
      </c>
      <c r="T137" s="6">
        <f t="shared" si="19"/>
        <v>0.03</v>
      </c>
      <c r="U137" s="6">
        <f t="shared" si="19"/>
        <v>0.03</v>
      </c>
      <c r="V137" s="6">
        <f t="shared" si="19"/>
        <v>0.03</v>
      </c>
      <c r="W137" s="6">
        <f t="shared" si="19"/>
        <v>0.03</v>
      </c>
      <c r="X137" s="6">
        <f t="shared" si="19"/>
        <v>0.03</v>
      </c>
      <c r="Y137" s="6">
        <f t="shared" si="19"/>
        <v>0.03</v>
      </c>
      <c r="Z137" s="6">
        <f t="shared" si="19"/>
        <v>0.03</v>
      </c>
      <c r="AA137" s="6">
        <f t="shared" si="19"/>
        <v>0.03</v>
      </c>
      <c r="AB137" s="6">
        <f t="shared" si="19"/>
        <v>0.03</v>
      </c>
      <c r="AC137" s="6">
        <f t="shared" si="19"/>
        <v>0.03</v>
      </c>
      <c r="AD137" s="6">
        <f t="shared" si="19"/>
        <v>0.03</v>
      </c>
      <c r="AE137" s="6">
        <f t="shared" si="19"/>
        <v>0.03</v>
      </c>
      <c r="AF137" s="6">
        <f t="shared" si="19"/>
        <v>0.03</v>
      </c>
      <c r="AG137" s="6">
        <f t="shared" si="19"/>
        <v>0.03</v>
      </c>
      <c r="AH137" s="6">
        <f t="shared" si="19"/>
        <v>0.03</v>
      </c>
      <c r="AI137" s="6">
        <f t="shared" si="19"/>
        <v>0.03</v>
      </c>
      <c r="AJ137" s="6">
        <f t="shared" si="19"/>
        <v>0.03</v>
      </c>
      <c r="AK137" s="6">
        <f t="shared" si="19"/>
        <v>0.03</v>
      </c>
      <c r="AL137" s="6">
        <f t="shared" si="19"/>
        <v>0.03</v>
      </c>
      <c r="AM137" s="6">
        <f t="shared" si="19"/>
        <v>0.03</v>
      </c>
      <c r="AN137" s="6">
        <f t="shared" si="19"/>
        <v>0.03</v>
      </c>
      <c r="AO137" s="6">
        <f t="shared" si="19"/>
        <v>0.03</v>
      </c>
      <c r="AP137" s="6">
        <f t="shared" si="19"/>
        <v>0.03</v>
      </c>
      <c r="AQ137" s="6">
        <f t="shared" si="19"/>
        <v>0.03</v>
      </c>
      <c r="AR137" s="6">
        <f t="shared" si="19"/>
        <v>0.03</v>
      </c>
      <c r="AS137" s="6">
        <f t="shared" si="19"/>
        <v>0.03</v>
      </c>
      <c r="AT137" s="6">
        <f t="shared" si="19"/>
        <v>0.03</v>
      </c>
      <c r="AU137" s="6">
        <f t="shared" si="19"/>
        <v>0.03</v>
      </c>
      <c r="AV137" s="6">
        <f t="shared" si="19"/>
        <v>0.03</v>
      </c>
      <c r="AW137" s="6">
        <f t="shared" si="19"/>
        <v>0.03</v>
      </c>
      <c r="AX137" s="6">
        <f t="shared" si="19"/>
        <v>0.03</v>
      </c>
      <c r="AY137" s="6">
        <f t="shared" si="19"/>
        <v>0.03</v>
      </c>
      <c r="AZ137" s="6">
        <f t="shared" si="19"/>
        <v>0.03</v>
      </c>
      <c r="BA137" s="6">
        <f t="shared" si="19"/>
        <v>0.03</v>
      </c>
      <c r="BB137" s="6">
        <f t="shared" si="19"/>
        <v>0.03</v>
      </c>
      <c r="BC137" s="6">
        <f t="shared" si="19"/>
        <v>0.03</v>
      </c>
      <c r="BD137" s="6">
        <f t="shared" si="19"/>
        <v>0.03</v>
      </c>
      <c r="BE137" s="6">
        <f t="shared" si="19"/>
        <v>0.03</v>
      </c>
      <c r="BF137" s="6">
        <f t="shared" si="19"/>
        <v>0.03</v>
      </c>
      <c r="BG137" s="6">
        <f t="shared" si="19"/>
        <v>0.03</v>
      </c>
      <c r="BH137" s="6">
        <f t="shared" si="19"/>
        <v>0.03</v>
      </c>
      <c r="BI137" s="6">
        <f t="shared" si="19"/>
        <v>0.03</v>
      </c>
      <c r="BJ137" s="6">
        <f t="shared" si="19"/>
        <v>0.03</v>
      </c>
    </row>
    <row r="138" spans="3:62" collapsed="1" x14ac:dyDescent="0.15"/>
    <row r="139" spans="3:62" x14ac:dyDescent="0.15">
      <c r="C139" s="2">
        <f>MAX( $B$7:C136 ) + 0.1</f>
        <v>3.3000000000000003</v>
      </c>
      <c r="D139" s="2" t="s">
        <v>40</v>
      </c>
      <c r="E139" s="1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</row>
    <row r="141" spans="3:62" x14ac:dyDescent="0.15">
      <c r="D141" s="8" t="s">
        <v>14</v>
      </c>
    </row>
    <row r="142" spans="3:62" x14ac:dyDescent="0.15">
      <c r="D142" s="11" t="str">
        <f>Вводные!$D$70</f>
        <v>Еда</v>
      </c>
      <c r="E142" s="12" t="s">
        <v>23</v>
      </c>
      <c r="F142" s="17">
        <v>2024</v>
      </c>
      <c r="G142" s="17">
        <v>2076</v>
      </c>
    </row>
    <row r="143" spans="3:62" x14ac:dyDescent="0.15">
      <c r="D143" s="11" t="str">
        <f>Вводные!$D$71</f>
        <v>Садик</v>
      </c>
      <c r="E143" s="12" t="s">
        <v>23</v>
      </c>
      <c r="F143" s="17">
        <v>2024</v>
      </c>
      <c r="G143" s="17">
        <v>2076</v>
      </c>
    </row>
    <row r="144" spans="3:62" x14ac:dyDescent="0.15">
      <c r="D144" s="11" t="str">
        <f>Вводные!$D$72</f>
        <v>Няня</v>
      </c>
      <c r="E144" s="12" t="s">
        <v>23</v>
      </c>
      <c r="F144" s="17">
        <v>2024</v>
      </c>
      <c r="G144" s="17">
        <v>2076</v>
      </c>
    </row>
    <row r="145" spans="4:7" x14ac:dyDescent="0.15">
      <c r="D145" s="11" t="str">
        <f>Вводные!$D$73</f>
        <v>Ипотека</v>
      </c>
      <c r="E145" s="12" t="s">
        <v>23</v>
      </c>
      <c r="F145" s="17">
        <v>2024</v>
      </c>
      <c r="G145" s="17">
        <v>2050</v>
      </c>
    </row>
    <row r="146" spans="4:7" x14ac:dyDescent="0.15">
      <c r="D146" s="11" t="str">
        <f>Вводные!$D$74</f>
        <v>Аренда квартиры + коммуналка</v>
      </c>
      <c r="E146" s="12" t="s">
        <v>23</v>
      </c>
      <c r="F146" s="17">
        <v>2024</v>
      </c>
      <c r="G146" s="17">
        <v>2076</v>
      </c>
    </row>
    <row r="147" spans="4:7" x14ac:dyDescent="0.15">
      <c r="D147" s="11" t="str">
        <f>Вводные!$D$75</f>
        <v>Связь + интернет</v>
      </c>
      <c r="E147" s="12" t="s">
        <v>23</v>
      </c>
      <c r="F147" s="17">
        <v>2024</v>
      </c>
      <c r="G147" s="17">
        <v>2076</v>
      </c>
    </row>
    <row r="148" spans="4:7" x14ac:dyDescent="0.15">
      <c r="D148" s="11" t="str">
        <f>Вводные!$D$76</f>
        <v>Командировки</v>
      </c>
      <c r="E148" s="12" t="s">
        <v>23</v>
      </c>
      <c r="F148" s="17">
        <v>2024</v>
      </c>
      <c r="G148" s="17">
        <v>2076</v>
      </c>
    </row>
    <row r="149" spans="4:7" x14ac:dyDescent="0.15">
      <c r="D149" s="11" t="str">
        <f>Вводные!$D$77</f>
        <v>Прочее</v>
      </c>
      <c r="E149" s="12" t="s">
        <v>23</v>
      </c>
      <c r="F149" s="17">
        <v>2024</v>
      </c>
      <c r="G149" s="17">
        <v>2076</v>
      </c>
    </row>
    <row r="150" spans="4:7" x14ac:dyDescent="0.15">
      <c r="D150" s="11" t="str">
        <f>Вводные!$D$78</f>
        <v>Ежемесячный расход 9</v>
      </c>
      <c r="E150" s="12" t="s">
        <v>23</v>
      </c>
      <c r="F150" s="17">
        <v>2024</v>
      </c>
      <c r="G150" s="17">
        <v>2076</v>
      </c>
    </row>
    <row r="151" spans="4:7" x14ac:dyDescent="0.15">
      <c r="D151" s="11" t="str">
        <f>Вводные!$D$79</f>
        <v>Ежемесячный расход 10</v>
      </c>
      <c r="E151" s="12" t="s">
        <v>23</v>
      </c>
      <c r="F151" s="17">
        <v>2024</v>
      </c>
      <c r="G151" s="17">
        <v>2076</v>
      </c>
    </row>
    <row r="152" spans="4:7" x14ac:dyDescent="0.15">
      <c r="D152" s="11" t="str">
        <f>Вводные!$D$80</f>
        <v>Ежемесячный расход 11</v>
      </c>
      <c r="E152" s="12" t="s">
        <v>23</v>
      </c>
      <c r="F152" s="17">
        <v>2024</v>
      </c>
      <c r="G152" s="17">
        <v>2076</v>
      </c>
    </row>
    <row r="153" spans="4:7" x14ac:dyDescent="0.15">
      <c r="D153" s="11" t="str">
        <f>Вводные!$D$81</f>
        <v>Ежемесячный расход 12</v>
      </c>
      <c r="E153" s="12" t="s">
        <v>23</v>
      </c>
      <c r="F153" s="17">
        <v>2024</v>
      </c>
      <c r="G153" s="17">
        <v>2076</v>
      </c>
    </row>
    <row r="154" spans="4:7" x14ac:dyDescent="0.15">
      <c r="D154" s="11" t="str">
        <f>Вводные!$D$82</f>
        <v>Ежемесячный расход 13</v>
      </c>
      <c r="E154" s="12" t="s">
        <v>23</v>
      </c>
      <c r="F154" s="17">
        <v>2024</v>
      </c>
      <c r="G154" s="17">
        <v>2076</v>
      </c>
    </row>
    <row r="155" spans="4:7" x14ac:dyDescent="0.15">
      <c r="D155" s="11" t="str">
        <f>Вводные!$D$83</f>
        <v>Ежемесячный расход 14</v>
      </c>
      <c r="E155" s="12" t="s">
        <v>23</v>
      </c>
      <c r="F155" s="17">
        <v>2024</v>
      </c>
      <c r="G155" s="17">
        <v>2076</v>
      </c>
    </row>
    <row r="156" spans="4:7" x14ac:dyDescent="0.15">
      <c r="D156" s="11" t="str">
        <f>Вводные!$D$84</f>
        <v>Ежемесячный расход 15</v>
      </c>
      <c r="E156" s="12" t="s">
        <v>23</v>
      </c>
      <c r="F156" s="17">
        <v>2024</v>
      </c>
      <c r="G156" s="17">
        <v>2076</v>
      </c>
    </row>
    <row r="157" spans="4:7" x14ac:dyDescent="0.15">
      <c r="D157" s="11" t="str">
        <f>Вводные!$D$85</f>
        <v>Ежемесячный расход 16</v>
      </c>
      <c r="E157" s="12" t="s">
        <v>23</v>
      </c>
      <c r="F157" s="17">
        <v>2024</v>
      </c>
      <c r="G157" s="17">
        <v>2076</v>
      </c>
    </row>
    <row r="158" spans="4:7" x14ac:dyDescent="0.15">
      <c r="D158" s="11" t="str">
        <f>Вводные!$D$86</f>
        <v>Ежемесячный расход 17</v>
      </c>
      <c r="E158" s="12" t="s">
        <v>23</v>
      </c>
      <c r="F158" s="17">
        <v>2024</v>
      </c>
      <c r="G158" s="17">
        <v>2076</v>
      </c>
    </row>
    <row r="159" spans="4:7" x14ac:dyDescent="0.15">
      <c r="D159" s="11" t="str">
        <f>Вводные!$D$87</f>
        <v>Ежемесячный расход 18</v>
      </c>
      <c r="E159" s="12" t="s">
        <v>23</v>
      </c>
      <c r="F159" s="17">
        <v>2024</v>
      </c>
      <c r="G159" s="17">
        <v>2076</v>
      </c>
    </row>
    <row r="160" spans="4:7" x14ac:dyDescent="0.15">
      <c r="D160" s="11" t="str">
        <f>Вводные!$D$88</f>
        <v>Ежемесячный расход 19</v>
      </c>
      <c r="E160" s="12" t="s">
        <v>23</v>
      </c>
      <c r="F160" s="17">
        <v>2024</v>
      </c>
      <c r="G160" s="17">
        <v>2076</v>
      </c>
    </row>
    <row r="161" spans="2:62" x14ac:dyDescent="0.15">
      <c r="D161" s="11" t="str">
        <f>Вводные!$D$89</f>
        <v>Ежемесячный расход 20</v>
      </c>
      <c r="E161" s="12" t="s">
        <v>23</v>
      </c>
      <c r="F161" s="17">
        <v>2024</v>
      </c>
      <c r="G161" s="17">
        <v>2076</v>
      </c>
    </row>
    <row r="163" spans="2:62" x14ac:dyDescent="0.15">
      <c r="D163" s="8" t="s">
        <v>17</v>
      </c>
    </row>
    <row r="164" spans="2:62" x14ac:dyDescent="0.15">
      <c r="D164" s="11" t="str">
        <f>Вводные!$D$116</f>
        <v>Страховка</v>
      </c>
      <c r="E164" s="12" t="s">
        <v>23</v>
      </c>
      <c r="F164" s="17">
        <v>2024</v>
      </c>
      <c r="G164" s="17">
        <v>2076</v>
      </c>
    </row>
    <row r="165" spans="2:62" x14ac:dyDescent="0.15">
      <c r="D165" s="11" t="str">
        <f>Вводные!$D$117</f>
        <v>Детский сад / школа</v>
      </c>
      <c r="E165" s="12" t="s">
        <v>23</v>
      </c>
      <c r="F165" s="17">
        <v>2024</v>
      </c>
      <c r="G165" s="17">
        <v>2040</v>
      </c>
    </row>
    <row r="166" spans="2:62" x14ac:dyDescent="0.15">
      <c r="D166" s="11" t="str">
        <f>Вводные!$D$118</f>
        <v>Страховка по ипотеке</v>
      </c>
      <c r="E166" s="12" t="s">
        <v>23</v>
      </c>
      <c r="F166" s="17">
        <v>2024</v>
      </c>
      <c r="G166" s="17">
        <f>G145</f>
        <v>2050</v>
      </c>
    </row>
    <row r="167" spans="2:62" x14ac:dyDescent="0.15">
      <c r="D167" s="11" t="str">
        <f>Вводные!$D$119</f>
        <v>Отпуск</v>
      </c>
      <c r="E167" s="12" t="s">
        <v>23</v>
      </c>
      <c r="F167" s="17">
        <v>2024</v>
      </c>
      <c r="G167" s="17">
        <v>2076</v>
      </c>
    </row>
    <row r="168" spans="2:62" x14ac:dyDescent="0.15">
      <c r="D168" s="11" t="str">
        <f>Вводные!$D$120</f>
        <v xml:space="preserve">Долг 2 млн </v>
      </c>
      <c r="E168" s="12" t="s">
        <v>23</v>
      </c>
      <c r="F168" s="17">
        <v>2024</v>
      </c>
      <c r="G168" s="17">
        <v>2025</v>
      </c>
    </row>
    <row r="169" spans="2:62" x14ac:dyDescent="0.15">
      <c r="D169" s="11" t="str">
        <f>Вводные!$D$121</f>
        <v>Долг за квартиру</v>
      </c>
      <c r="E169" s="12" t="s">
        <v>23</v>
      </c>
      <c r="F169" s="17">
        <v>2024</v>
      </c>
      <c r="G169" s="17">
        <v>2028</v>
      </c>
    </row>
    <row r="170" spans="2:62" x14ac:dyDescent="0.15">
      <c r="D170" s="11" t="str">
        <f>Вводные!$D$122</f>
        <v>Подарки</v>
      </c>
      <c r="E170" s="12" t="s">
        <v>23</v>
      </c>
      <c r="F170" s="17">
        <v>2024</v>
      </c>
      <c r="G170" s="17">
        <v>2076</v>
      </c>
    </row>
    <row r="171" spans="2:62" x14ac:dyDescent="0.15">
      <c r="D171" s="11" t="str">
        <f>Вводные!$D$123</f>
        <v>Ежегодный расход 8</v>
      </c>
      <c r="E171" s="12" t="s">
        <v>23</v>
      </c>
      <c r="F171" s="17">
        <v>2024</v>
      </c>
      <c r="G171" s="17">
        <v>2076</v>
      </c>
    </row>
    <row r="172" spans="2:62" x14ac:dyDescent="0.15">
      <c r="D172" s="11" t="str">
        <f>Вводные!$D$124</f>
        <v>Ежегодный расход 9</v>
      </c>
      <c r="E172" s="12" t="s">
        <v>23</v>
      </c>
      <c r="F172" s="17">
        <v>2024</v>
      </c>
      <c r="G172" s="17">
        <v>2076</v>
      </c>
    </row>
    <row r="173" spans="2:62" x14ac:dyDescent="0.15">
      <c r="D173" s="11" t="str">
        <f>Вводные!$D$125</f>
        <v>Ежегодный расход 10</v>
      </c>
      <c r="E173" s="12" t="s">
        <v>23</v>
      </c>
      <c r="F173" s="17">
        <v>2024</v>
      </c>
      <c r="G173" s="17">
        <v>2076</v>
      </c>
    </row>
    <row r="175" spans="2:62" ht="12" x14ac:dyDescent="0.15">
      <c r="B175" s="1">
        <f>MAX( $B$7:B138 ) + 1</f>
        <v>4</v>
      </c>
      <c r="C175" s="1"/>
      <c r="D175" s="1" t="s">
        <v>24</v>
      </c>
      <c r="E175" s="1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</row>
    <row r="177" spans="3:62" x14ac:dyDescent="0.15">
      <c r="C177" s="2">
        <f>MAX( $B$7:C176 ) + 0.1</f>
        <v>4.0999999999999996</v>
      </c>
      <c r="D177" s="2" t="s">
        <v>27</v>
      </c>
      <c r="E177" s="14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</row>
    <row r="179" spans="3:62" x14ac:dyDescent="0.15">
      <c r="D179" s="8" t="s">
        <v>27</v>
      </c>
    </row>
    <row r="180" spans="3:62" x14ac:dyDescent="0.15">
      <c r="D180" s="10" t="s">
        <v>105</v>
      </c>
      <c r="E180" s="12" t="s">
        <v>108</v>
      </c>
      <c r="F180" s="16">
        <v>0</v>
      </c>
    </row>
    <row r="181" spans="3:62" x14ac:dyDescent="0.15">
      <c r="D181" s="10" t="s">
        <v>106</v>
      </c>
      <c r="E181" s="12" t="s">
        <v>108</v>
      </c>
      <c r="F181" s="16">
        <v>0</v>
      </c>
    </row>
    <row r="182" spans="3:62" x14ac:dyDescent="0.15">
      <c r="D182" s="10" t="s">
        <v>91</v>
      </c>
      <c r="E182" s="12" t="s">
        <v>108</v>
      </c>
      <c r="F182" s="16">
        <v>0</v>
      </c>
    </row>
    <row r="183" spans="3:62" x14ac:dyDescent="0.15">
      <c r="D183" s="10" t="s">
        <v>92</v>
      </c>
      <c r="E183" s="12" t="s">
        <v>108</v>
      </c>
      <c r="F183" s="16">
        <v>0</v>
      </c>
    </row>
    <row r="184" spans="3:62" x14ac:dyDescent="0.15">
      <c r="D184" s="10" t="s">
        <v>30</v>
      </c>
      <c r="E184" s="12" t="s">
        <v>108</v>
      </c>
      <c r="F184" s="16">
        <v>0</v>
      </c>
    </row>
    <row r="185" spans="3:62" x14ac:dyDescent="0.15">
      <c r="D185" s="10" t="s">
        <v>31</v>
      </c>
      <c r="E185" s="12" t="s">
        <v>108</v>
      </c>
      <c r="F185" s="16">
        <v>0</v>
      </c>
    </row>
    <row r="186" spans="3:62" x14ac:dyDescent="0.15">
      <c r="D186" s="10" t="s">
        <v>32</v>
      </c>
      <c r="E186" s="12" t="s">
        <v>108</v>
      </c>
      <c r="F186" s="16">
        <v>0</v>
      </c>
    </row>
    <row r="187" spans="3:62" x14ac:dyDescent="0.15">
      <c r="D187" s="10" t="s">
        <v>33</v>
      </c>
      <c r="E187" s="12" t="s">
        <v>108</v>
      </c>
      <c r="F187" s="16">
        <v>0</v>
      </c>
    </row>
    <row r="188" spans="3:62" x14ac:dyDescent="0.15">
      <c r="D188" s="10" t="s">
        <v>34</v>
      </c>
      <c r="E188" s="12" t="s">
        <v>108</v>
      </c>
      <c r="F188" s="16">
        <v>0</v>
      </c>
    </row>
    <row r="189" spans="3:62" x14ac:dyDescent="0.15">
      <c r="D189" s="10" t="s">
        <v>29</v>
      </c>
      <c r="E189" s="12" t="s">
        <v>108</v>
      </c>
      <c r="F189" s="16">
        <v>0</v>
      </c>
    </row>
    <row r="191" spans="3:62" x14ac:dyDescent="0.15">
      <c r="D191" s="8" t="s">
        <v>26</v>
      </c>
    </row>
    <row r="192" spans="3:62" x14ac:dyDescent="0.15">
      <c r="D192" s="9" t="str">
        <f>"Темп роста " &amp; D180</f>
        <v>Темп роста Ежемесячный расход на цели 1</v>
      </c>
      <c r="E192" s="12" t="s">
        <v>4</v>
      </c>
      <c r="J192" s="6">
        <v>0</v>
      </c>
      <c r="K192" s="6">
        <f t="shared" ref="K192:BJ196" si="20">K$14</f>
        <v>0.03</v>
      </c>
      <c r="L192" s="6">
        <f t="shared" si="20"/>
        <v>0.03</v>
      </c>
      <c r="M192" s="6">
        <f t="shared" si="20"/>
        <v>0.03</v>
      </c>
      <c r="N192" s="6">
        <f t="shared" si="20"/>
        <v>0.03</v>
      </c>
      <c r="O192" s="6">
        <f t="shared" si="20"/>
        <v>0.03</v>
      </c>
      <c r="P192" s="6">
        <f t="shared" si="20"/>
        <v>0.03</v>
      </c>
      <c r="Q192" s="6">
        <f t="shared" si="20"/>
        <v>0.03</v>
      </c>
      <c r="R192" s="6">
        <f t="shared" si="20"/>
        <v>0.03</v>
      </c>
      <c r="S192" s="6">
        <f t="shared" si="20"/>
        <v>0.03</v>
      </c>
      <c r="T192" s="6">
        <f t="shared" si="20"/>
        <v>0.03</v>
      </c>
      <c r="U192" s="6">
        <f t="shared" si="20"/>
        <v>0.03</v>
      </c>
      <c r="V192" s="6">
        <f t="shared" si="20"/>
        <v>0.03</v>
      </c>
      <c r="W192" s="6">
        <f t="shared" si="20"/>
        <v>0.03</v>
      </c>
      <c r="X192" s="6">
        <f t="shared" si="20"/>
        <v>0.03</v>
      </c>
      <c r="Y192" s="6">
        <f t="shared" si="20"/>
        <v>0.03</v>
      </c>
      <c r="Z192" s="6">
        <f t="shared" si="20"/>
        <v>0.03</v>
      </c>
      <c r="AA192" s="6">
        <f t="shared" si="20"/>
        <v>0.03</v>
      </c>
      <c r="AB192" s="6">
        <f t="shared" si="20"/>
        <v>0.03</v>
      </c>
      <c r="AC192" s="6">
        <f t="shared" si="20"/>
        <v>0.03</v>
      </c>
      <c r="AD192" s="6">
        <f t="shared" si="20"/>
        <v>0.03</v>
      </c>
      <c r="AE192" s="6">
        <f t="shared" si="20"/>
        <v>0.03</v>
      </c>
      <c r="AF192" s="6">
        <f t="shared" si="20"/>
        <v>0.03</v>
      </c>
      <c r="AG192" s="6">
        <f t="shared" si="20"/>
        <v>0.03</v>
      </c>
      <c r="AH192" s="6">
        <f t="shared" si="20"/>
        <v>0.03</v>
      </c>
      <c r="AI192" s="6">
        <f t="shared" si="20"/>
        <v>0.03</v>
      </c>
      <c r="AJ192" s="6">
        <f t="shared" si="20"/>
        <v>0.03</v>
      </c>
      <c r="AK192" s="6">
        <f t="shared" si="20"/>
        <v>0.03</v>
      </c>
      <c r="AL192" s="6">
        <f t="shared" si="20"/>
        <v>0.03</v>
      </c>
      <c r="AM192" s="6">
        <f t="shared" si="20"/>
        <v>0.03</v>
      </c>
      <c r="AN192" s="6">
        <f t="shared" si="20"/>
        <v>0.03</v>
      </c>
      <c r="AO192" s="6">
        <f t="shared" si="20"/>
        <v>0.03</v>
      </c>
      <c r="AP192" s="6">
        <f t="shared" si="20"/>
        <v>0.03</v>
      </c>
      <c r="AQ192" s="6">
        <f t="shared" si="20"/>
        <v>0.03</v>
      </c>
      <c r="AR192" s="6">
        <f t="shared" si="20"/>
        <v>0.03</v>
      </c>
      <c r="AS192" s="6">
        <f t="shared" si="20"/>
        <v>0.03</v>
      </c>
      <c r="AT192" s="6">
        <f t="shared" si="20"/>
        <v>0.03</v>
      </c>
      <c r="AU192" s="6">
        <f t="shared" si="20"/>
        <v>0.03</v>
      </c>
      <c r="AV192" s="6">
        <f t="shared" si="20"/>
        <v>0.03</v>
      </c>
      <c r="AW192" s="6">
        <f t="shared" si="20"/>
        <v>0.03</v>
      </c>
      <c r="AX192" s="6">
        <f t="shared" si="20"/>
        <v>0.03</v>
      </c>
      <c r="AY192" s="6">
        <f t="shared" si="20"/>
        <v>0.03</v>
      </c>
      <c r="AZ192" s="6">
        <f t="shared" si="20"/>
        <v>0.03</v>
      </c>
      <c r="BA192" s="6">
        <f t="shared" si="20"/>
        <v>0.03</v>
      </c>
      <c r="BB192" s="6">
        <f t="shared" si="20"/>
        <v>0.03</v>
      </c>
      <c r="BC192" s="6">
        <f t="shared" si="20"/>
        <v>0.03</v>
      </c>
      <c r="BD192" s="6">
        <f t="shared" si="20"/>
        <v>0.03</v>
      </c>
      <c r="BE192" s="6">
        <f t="shared" si="20"/>
        <v>0.03</v>
      </c>
      <c r="BF192" s="6">
        <f t="shared" si="20"/>
        <v>0.03</v>
      </c>
      <c r="BG192" s="6">
        <f t="shared" si="20"/>
        <v>0.03</v>
      </c>
      <c r="BH192" s="6">
        <f t="shared" si="20"/>
        <v>0.03</v>
      </c>
      <c r="BI192" s="6">
        <f t="shared" si="20"/>
        <v>0.03</v>
      </c>
      <c r="BJ192" s="6">
        <f t="shared" si="20"/>
        <v>0.03</v>
      </c>
    </row>
    <row r="193" spans="3:62" x14ac:dyDescent="0.15">
      <c r="D193" s="9" t="str">
        <f>"Темп роста " &amp; D181</f>
        <v>Темп роста Ежемесячный расход на цели 2</v>
      </c>
      <c r="E193" s="12" t="s">
        <v>4</v>
      </c>
      <c r="J193" s="6">
        <v>0</v>
      </c>
      <c r="K193" s="6">
        <f t="shared" si="20"/>
        <v>0.03</v>
      </c>
      <c r="L193" s="6">
        <f t="shared" si="20"/>
        <v>0.03</v>
      </c>
      <c r="M193" s="6">
        <f t="shared" si="20"/>
        <v>0.03</v>
      </c>
      <c r="N193" s="6">
        <f t="shared" si="20"/>
        <v>0.03</v>
      </c>
      <c r="O193" s="6">
        <f t="shared" si="20"/>
        <v>0.03</v>
      </c>
      <c r="P193" s="6">
        <f t="shared" si="20"/>
        <v>0.03</v>
      </c>
      <c r="Q193" s="6">
        <f t="shared" si="20"/>
        <v>0.03</v>
      </c>
      <c r="R193" s="6">
        <f t="shared" si="20"/>
        <v>0.03</v>
      </c>
      <c r="S193" s="6">
        <f t="shared" si="20"/>
        <v>0.03</v>
      </c>
      <c r="T193" s="6">
        <f t="shared" si="20"/>
        <v>0.03</v>
      </c>
      <c r="U193" s="6">
        <f t="shared" si="20"/>
        <v>0.03</v>
      </c>
      <c r="V193" s="6">
        <f t="shared" si="20"/>
        <v>0.03</v>
      </c>
      <c r="W193" s="6">
        <f t="shared" si="20"/>
        <v>0.03</v>
      </c>
      <c r="X193" s="6">
        <f t="shared" si="20"/>
        <v>0.03</v>
      </c>
      <c r="Y193" s="6">
        <f t="shared" si="20"/>
        <v>0.03</v>
      </c>
      <c r="Z193" s="6">
        <f t="shared" si="20"/>
        <v>0.03</v>
      </c>
      <c r="AA193" s="6">
        <f t="shared" si="20"/>
        <v>0.03</v>
      </c>
      <c r="AB193" s="6">
        <f t="shared" si="20"/>
        <v>0.03</v>
      </c>
      <c r="AC193" s="6">
        <f t="shared" si="20"/>
        <v>0.03</v>
      </c>
      <c r="AD193" s="6">
        <f t="shared" si="20"/>
        <v>0.03</v>
      </c>
      <c r="AE193" s="6">
        <f t="shared" si="20"/>
        <v>0.03</v>
      </c>
      <c r="AF193" s="6">
        <f t="shared" si="20"/>
        <v>0.03</v>
      </c>
      <c r="AG193" s="6">
        <f t="shared" si="20"/>
        <v>0.03</v>
      </c>
      <c r="AH193" s="6">
        <f t="shared" si="20"/>
        <v>0.03</v>
      </c>
      <c r="AI193" s="6">
        <f t="shared" si="20"/>
        <v>0.03</v>
      </c>
      <c r="AJ193" s="6">
        <f t="shared" si="20"/>
        <v>0.03</v>
      </c>
      <c r="AK193" s="6">
        <f t="shared" si="20"/>
        <v>0.03</v>
      </c>
      <c r="AL193" s="6">
        <f t="shared" si="20"/>
        <v>0.03</v>
      </c>
      <c r="AM193" s="6">
        <f t="shared" si="20"/>
        <v>0.03</v>
      </c>
      <c r="AN193" s="6">
        <f t="shared" si="20"/>
        <v>0.03</v>
      </c>
      <c r="AO193" s="6">
        <f t="shared" si="20"/>
        <v>0.03</v>
      </c>
      <c r="AP193" s="6">
        <f t="shared" si="20"/>
        <v>0.03</v>
      </c>
      <c r="AQ193" s="6">
        <f t="shared" si="20"/>
        <v>0.03</v>
      </c>
      <c r="AR193" s="6">
        <f t="shared" si="20"/>
        <v>0.03</v>
      </c>
      <c r="AS193" s="6">
        <f t="shared" si="20"/>
        <v>0.03</v>
      </c>
      <c r="AT193" s="6">
        <f t="shared" si="20"/>
        <v>0.03</v>
      </c>
      <c r="AU193" s="6">
        <f t="shared" si="20"/>
        <v>0.03</v>
      </c>
      <c r="AV193" s="6">
        <f t="shared" si="20"/>
        <v>0.03</v>
      </c>
      <c r="AW193" s="6">
        <f t="shared" si="20"/>
        <v>0.03</v>
      </c>
      <c r="AX193" s="6">
        <f t="shared" si="20"/>
        <v>0.03</v>
      </c>
      <c r="AY193" s="6">
        <f t="shared" si="20"/>
        <v>0.03</v>
      </c>
      <c r="AZ193" s="6">
        <f t="shared" si="20"/>
        <v>0.03</v>
      </c>
      <c r="BA193" s="6">
        <f t="shared" si="20"/>
        <v>0.03</v>
      </c>
      <c r="BB193" s="6">
        <f t="shared" si="20"/>
        <v>0.03</v>
      </c>
      <c r="BC193" s="6">
        <f t="shared" si="20"/>
        <v>0.03</v>
      </c>
      <c r="BD193" s="6">
        <f t="shared" si="20"/>
        <v>0.03</v>
      </c>
      <c r="BE193" s="6">
        <f t="shared" si="20"/>
        <v>0.03</v>
      </c>
      <c r="BF193" s="6">
        <f t="shared" si="20"/>
        <v>0.03</v>
      </c>
      <c r="BG193" s="6">
        <f t="shared" si="20"/>
        <v>0.03</v>
      </c>
      <c r="BH193" s="6">
        <f t="shared" si="20"/>
        <v>0.03</v>
      </c>
      <c r="BI193" s="6">
        <f t="shared" si="20"/>
        <v>0.03</v>
      </c>
      <c r="BJ193" s="6">
        <f t="shared" si="20"/>
        <v>0.03</v>
      </c>
    </row>
    <row r="194" spans="3:62" x14ac:dyDescent="0.15">
      <c r="D194" s="9" t="str">
        <f>"Темп роста " &amp; D182</f>
        <v>Темп роста Ежемесячный расход на цели 3</v>
      </c>
      <c r="E194" s="12" t="s">
        <v>4</v>
      </c>
      <c r="J194" s="6">
        <v>0</v>
      </c>
      <c r="K194" s="6">
        <f t="shared" si="20"/>
        <v>0.03</v>
      </c>
      <c r="L194" s="6">
        <f t="shared" si="20"/>
        <v>0.03</v>
      </c>
      <c r="M194" s="6">
        <f t="shared" si="20"/>
        <v>0.03</v>
      </c>
      <c r="N194" s="6">
        <f t="shared" si="20"/>
        <v>0.03</v>
      </c>
      <c r="O194" s="6">
        <f t="shared" si="20"/>
        <v>0.03</v>
      </c>
      <c r="P194" s="6">
        <f t="shared" si="20"/>
        <v>0.03</v>
      </c>
      <c r="Q194" s="6">
        <f t="shared" si="20"/>
        <v>0.03</v>
      </c>
      <c r="R194" s="6">
        <f t="shared" si="20"/>
        <v>0.03</v>
      </c>
      <c r="S194" s="6">
        <f t="shared" si="20"/>
        <v>0.03</v>
      </c>
      <c r="T194" s="6">
        <f t="shared" si="20"/>
        <v>0.03</v>
      </c>
      <c r="U194" s="6">
        <f t="shared" si="20"/>
        <v>0.03</v>
      </c>
      <c r="V194" s="6">
        <f t="shared" si="20"/>
        <v>0.03</v>
      </c>
      <c r="W194" s="6">
        <f t="shared" si="20"/>
        <v>0.03</v>
      </c>
      <c r="X194" s="6">
        <f t="shared" si="20"/>
        <v>0.03</v>
      </c>
      <c r="Y194" s="6">
        <f t="shared" si="20"/>
        <v>0.03</v>
      </c>
      <c r="Z194" s="6">
        <f t="shared" si="20"/>
        <v>0.03</v>
      </c>
      <c r="AA194" s="6">
        <f t="shared" si="20"/>
        <v>0.03</v>
      </c>
      <c r="AB194" s="6">
        <f t="shared" si="20"/>
        <v>0.03</v>
      </c>
      <c r="AC194" s="6">
        <f t="shared" si="20"/>
        <v>0.03</v>
      </c>
      <c r="AD194" s="6">
        <f t="shared" si="20"/>
        <v>0.03</v>
      </c>
      <c r="AE194" s="6">
        <f t="shared" si="20"/>
        <v>0.03</v>
      </c>
      <c r="AF194" s="6">
        <f t="shared" si="20"/>
        <v>0.03</v>
      </c>
      <c r="AG194" s="6">
        <f t="shared" si="20"/>
        <v>0.03</v>
      </c>
      <c r="AH194" s="6">
        <f t="shared" si="20"/>
        <v>0.03</v>
      </c>
      <c r="AI194" s="6">
        <f t="shared" si="20"/>
        <v>0.03</v>
      </c>
      <c r="AJ194" s="6">
        <f t="shared" si="20"/>
        <v>0.03</v>
      </c>
      <c r="AK194" s="6">
        <f t="shared" si="20"/>
        <v>0.03</v>
      </c>
      <c r="AL194" s="6">
        <f t="shared" si="20"/>
        <v>0.03</v>
      </c>
      <c r="AM194" s="6">
        <f t="shared" si="20"/>
        <v>0.03</v>
      </c>
      <c r="AN194" s="6">
        <f t="shared" si="20"/>
        <v>0.03</v>
      </c>
      <c r="AO194" s="6">
        <f t="shared" si="20"/>
        <v>0.03</v>
      </c>
      <c r="AP194" s="6">
        <f t="shared" si="20"/>
        <v>0.03</v>
      </c>
      <c r="AQ194" s="6">
        <f t="shared" si="20"/>
        <v>0.03</v>
      </c>
      <c r="AR194" s="6">
        <f t="shared" si="20"/>
        <v>0.03</v>
      </c>
      <c r="AS194" s="6">
        <f t="shared" si="20"/>
        <v>0.03</v>
      </c>
      <c r="AT194" s="6">
        <f t="shared" si="20"/>
        <v>0.03</v>
      </c>
      <c r="AU194" s="6">
        <f t="shared" si="20"/>
        <v>0.03</v>
      </c>
      <c r="AV194" s="6">
        <f t="shared" si="20"/>
        <v>0.03</v>
      </c>
      <c r="AW194" s="6">
        <f t="shared" si="20"/>
        <v>0.03</v>
      </c>
      <c r="AX194" s="6">
        <f t="shared" si="20"/>
        <v>0.03</v>
      </c>
      <c r="AY194" s="6">
        <f t="shared" si="20"/>
        <v>0.03</v>
      </c>
      <c r="AZ194" s="6">
        <f t="shared" si="20"/>
        <v>0.03</v>
      </c>
      <c r="BA194" s="6">
        <f t="shared" si="20"/>
        <v>0.03</v>
      </c>
      <c r="BB194" s="6">
        <f t="shared" si="20"/>
        <v>0.03</v>
      </c>
      <c r="BC194" s="6">
        <f t="shared" si="20"/>
        <v>0.03</v>
      </c>
      <c r="BD194" s="6">
        <f t="shared" si="20"/>
        <v>0.03</v>
      </c>
      <c r="BE194" s="6">
        <f t="shared" si="20"/>
        <v>0.03</v>
      </c>
      <c r="BF194" s="6">
        <f t="shared" si="20"/>
        <v>0.03</v>
      </c>
      <c r="BG194" s="6">
        <f t="shared" si="20"/>
        <v>0.03</v>
      </c>
      <c r="BH194" s="6">
        <f t="shared" si="20"/>
        <v>0.03</v>
      </c>
      <c r="BI194" s="6">
        <f t="shared" si="20"/>
        <v>0.03</v>
      </c>
      <c r="BJ194" s="6">
        <f t="shared" si="20"/>
        <v>0.03</v>
      </c>
    </row>
    <row r="195" spans="3:62" x14ac:dyDescent="0.15">
      <c r="D195" s="9" t="str">
        <f>"Темп роста " &amp; D183</f>
        <v>Темп роста Ежемесячный расход на цели 4</v>
      </c>
      <c r="E195" s="12" t="s">
        <v>4</v>
      </c>
      <c r="J195" s="6">
        <v>0</v>
      </c>
      <c r="K195" s="6">
        <f t="shared" si="20"/>
        <v>0.03</v>
      </c>
      <c r="L195" s="6">
        <f t="shared" si="20"/>
        <v>0.03</v>
      </c>
      <c r="M195" s="6">
        <f t="shared" si="20"/>
        <v>0.03</v>
      </c>
      <c r="N195" s="6">
        <f t="shared" si="20"/>
        <v>0.03</v>
      </c>
      <c r="O195" s="6">
        <f t="shared" si="20"/>
        <v>0.03</v>
      </c>
      <c r="P195" s="6">
        <f t="shared" si="20"/>
        <v>0.03</v>
      </c>
      <c r="Q195" s="6">
        <f t="shared" si="20"/>
        <v>0.03</v>
      </c>
      <c r="R195" s="6">
        <f t="shared" si="20"/>
        <v>0.03</v>
      </c>
      <c r="S195" s="6">
        <f t="shared" si="20"/>
        <v>0.03</v>
      </c>
      <c r="T195" s="6">
        <f t="shared" si="20"/>
        <v>0.03</v>
      </c>
      <c r="U195" s="6">
        <f t="shared" si="20"/>
        <v>0.03</v>
      </c>
      <c r="V195" s="6">
        <f t="shared" si="20"/>
        <v>0.03</v>
      </c>
      <c r="W195" s="6">
        <f t="shared" si="20"/>
        <v>0.03</v>
      </c>
      <c r="X195" s="6">
        <f t="shared" si="20"/>
        <v>0.03</v>
      </c>
      <c r="Y195" s="6">
        <f t="shared" si="20"/>
        <v>0.03</v>
      </c>
      <c r="Z195" s="6">
        <f t="shared" si="20"/>
        <v>0.03</v>
      </c>
      <c r="AA195" s="6">
        <f t="shared" si="20"/>
        <v>0.03</v>
      </c>
      <c r="AB195" s="6">
        <f t="shared" si="20"/>
        <v>0.03</v>
      </c>
      <c r="AC195" s="6">
        <f t="shared" si="20"/>
        <v>0.03</v>
      </c>
      <c r="AD195" s="6">
        <f t="shared" si="20"/>
        <v>0.03</v>
      </c>
      <c r="AE195" s="6">
        <f t="shared" si="20"/>
        <v>0.03</v>
      </c>
      <c r="AF195" s="6">
        <f t="shared" si="20"/>
        <v>0.03</v>
      </c>
      <c r="AG195" s="6">
        <f t="shared" si="20"/>
        <v>0.03</v>
      </c>
      <c r="AH195" s="6">
        <f t="shared" si="20"/>
        <v>0.03</v>
      </c>
      <c r="AI195" s="6">
        <f t="shared" si="20"/>
        <v>0.03</v>
      </c>
      <c r="AJ195" s="6">
        <f t="shared" si="20"/>
        <v>0.03</v>
      </c>
      <c r="AK195" s="6">
        <f t="shared" si="20"/>
        <v>0.03</v>
      </c>
      <c r="AL195" s="6">
        <f t="shared" si="20"/>
        <v>0.03</v>
      </c>
      <c r="AM195" s="6">
        <f t="shared" si="20"/>
        <v>0.03</v>
      </c>
      <c r="AN195" s="6">
        <f t="shared" si="20"/>
        <v>0.03</v>
      </c>
      <c r="AO195" s="6">
        <f t="shared" si="20"/>
        <v>0.03</v>
      </c>
      <c r="AP195" s="6">
        <f t="shared" si="20"/>
        <v>0.03</v>
      </c>
      <c r="AQ195" s="6">
        <f t="shared" si="20"/>
        <v>0.03</v>
      </c>
      <c r="AR195" s="6">
        <f t="shared" si="20"/>
        <v>0.03</v>
      </c>
      <c r="AS195" s="6">
        <f t="shared" si="20"/>
        <v>0.03</v>
      </c>
      <c r="AT195" s="6">
        <f t="shared" si="20"/>
        <v>0.03</v>
      </c>
      <c r="AU195" s="6">
        <f t="shared" si="20"/>
        <v>0.03</v>
      </c>
      <c r="AV195" s="6">
        <f t="shared" si="20"/>
        <v>0.03</v>
      </c>
      <c r="AW195" s="6">
        <f t="shared" si="20"/>
        <v>0.03</v>
      </c>
      <c r="AX195" s="6">
        <f t="shared" si="20"/>
        <v>0.03</v>
      </c>
      <c r="AY195" s="6">
        <f t="shared" si="20"/>
        <v>0.03</v>
      </c>
      <c r="AZ195" s="6">
        <f t="shared" si="20"/>
        <v>0.03</v>
      </c>
      <c r="BA195" s="6">
        <f t="shared" si="20"/>
        <v>0.03</v>
      </c>
      <c r="BB195" s="6">
        <f t="shared" si="20"/>
        <v>0.03</v>
      </c>
      <c r="BC195" s="6">
        <f t="shared" si="20"/>
        <v>0.03</v>
      </c>
      <c r="BD195" s="6">
        <f t="shared" si="20"/>
        <v>0.03</v>
      </c>
      <c r="BE195" s="6">
        <f t="shared" si="20"/>
        <v>0.03</v>
      </c>
      <c r="BF195" s="6">
        <f t="shared" si="20"/>
        <v>0.03</v>
      </c>
      <c r="BG195" s="6">
        <f t="shared" si="20"/>
        <v>0.03</v>
      </c>
      <c r="BH195" s="6">
        <f t="shared" si="20"/>
        <v>0.03</v>
      </c>
      <c r="BI195" s="6">
        <f t="shared" si="20"/>
        <v>0.03</v>
      </c>
      <c r="BJ195" s="6">
        <f t="shared" si="20"/>
        <v>0.03</v>
      </c>
    </row>
    <row r="196" spans="3:62" x14ac:dyDescent="0.15">
      <c r="D196" s="9" t="str">
        <f t="shared" ref="D196:D201" si="21">"Темп роста " &amp; D184</f>
        <v>Темп роста Ежемесячный расход на цели 5</v>
      </c>
      <c r="E196" s="12" t="s">
        <v>4</v>
      </c>
      <c r="J196" s="6">
        <v>0</v>
      </c>
      <c r="K196" s="6">
        <f t="shared" si="20"/>
        <v>0.03</v>
      </c>
      <c r="L196" s="6">
        <f t="shared" si="20"/>
        <v>0.03</v>
      </c>
      <c r="M196" s="6">
        <f t="shared" si="20"/>
        <v>0.03</v>
      </c>
      <c r="N196" s="6">
        <f t="shared" si="20"/>
        <v>0.03</v>
      </c>
      <c r="O196" s="6">
        <f t="shared" si="20"/>
        <v>0.03</v>
      </c>
      <c r="P196" s="6">
        <f t="shared" si="20"/>
        <v>0.03</v>
      </c>
      <c r="Q196" s="6">
        <f t="shared" si="20"/>
        <v>0.03</v>
      </c>
      <c r="R196" s="6">
        <f t="shared" si="20"/>
        <v>0.03</v>
      </c>
      <c r="S196" s="6">
        <f t="shared" si="20"/>
        <v>0.03</v>
      </c>
      <c r="T196" s="6">
        <f t="shared" si="20"/>
        <v>0.03</v>
      </c>
      <c r="U196" s="6">
        <f t="shared" si="20"/>
        <v>0.03</v>
      </c>
      <c r="V196" s="6">
        <f t="shared" si="20"/>
        <v>0.03</v>
      </c>
      <c r="W196" s="6">
        <f t="shared" si="20"/>
        <v>0.03</v>
      </c>
      <c r="X196" s="6">
        <f t="shared" si="20"/>
        <v>0.03</v>
      </c>
      <c r="Y196" s="6">
        <f t="shared" si="20"/>
        <v>0.03</v>
      </c>
      <c r="Z196" s="6">
        <f t="shared" si="20"/>
        <v>0.03</v>
      </c>
      <c r="AA196" s="6">
        <f t="shared" si="20"/>
        <v>0.03</v>
      </c>
      <c r="AB196" s="6">
        <f t="shared" si="20"/>
        <v>0.03</v>
      </c>
      <c r="AC196" s="6">
        <f t="shared" si="20"/>
        <v>0.03</v>
      </c>
      <c r="AD196" s="6">
        <f t="shared" si="20"/>
        <v>0.03</v>
      </c>
      <c r="AE196" s="6">
        <f t="shared" si="20"/>
        <v>0.03</v>
      </c>
      <c r="AF196" s="6">
        <f t="shared" si="20"/>
        <v>0.03</v>
      </c>
      <c r="AG196" s="6">
        <f t="shared" si="20"/>
        <v>0.03</v>
      </c>
      <c r="AH196" s="6">
        <f t="shared" si="20"/>
        <v>0.03</v>
      </c>
      <c r="AI196" s="6">
        <f t="shared" si="20"/>
        <v>0.03</v>
      </c>
      <c r="AJ196" s="6">
        <f t="shared" si="20"/>
        <v>0.03</v>
      </c>
      <c r="AK196" s="6">
        <f t="shared" si="20"/>
        <v>0.03</v>
      </c>
      <c r="AL196" s="6">
        <f t="shared" si="20"/>
        <v>0.03</v>
      </c>
      <c r="AM196" s="6">
        <f t="shared" si="20"/>
        <v>0.03</v>
      </c>
      <c r="AN196" s="6">
        <f t="shared" si="20"/>
        <v>0.03</v>
      </c>
      <c r="AO196" s="6">
        <f t="shared" si="20"/>
        <v>0.03</v>
      </c>
      <c r="AP196" s="6">
        <f t="shared" si="20"/>
        <v>0.03</v>
      </c>
      <c r="AQ196" s="6">
        <f t="shared" si="20"/>
        <v>0.03</v>
      </c>
      <c r="AR196" s="6">
        <f t="shared" si="20"/>
        <v>0.03</v>
      </c>
      <c r="AS196" s="6">
        <f t="shared" si="20"/>
        <v>0.03</v>
      </c>
      <c r="AT196" s="6">
        <f t="shared" si="20"/>
        <v>0.03</v>
      </c>
      <c r="AU196" s="6">
        <f t="shared" si="20"/>
        <v>0.03</v>
      </c>
      <c r="AV196" s="6">
        <f t="shared" si="20"/>
        <v>0.03</v>
      </c>
      <c r="AW196" s="6">
        <f t="shared" si="20"/>
        <v>0.03</v>
      </c>
      <c r="AX196" s="6">
        <f t="shared" si="20"/>
        <v>0.03</v>
      </c>
      <c r="AY196" s="6">
        <f t="shared" si="20"/>
        <v>0.03</v>
      </c>
      <c r="AZ196" s="6">
        <f t="shared" si="20"/>
        <v>0.03</v>
      </c>
      <c r="BA196" s="6">
        <f t="shared" ref="BA196:BJ196" si="22">BA$14</f>
        <v>0.03</v>
      </c>
      <c r="BB196" s="6">
        <f t="shared" si="22"/>
        <v>0.03</v>
      </c>
      <c r="BC196" s="6">
        <f t="shared" si="22"/>
        <v>0.03</v>
      </c>
      <c r="BD196" s="6">
        <f t="shared" si="22"/>
        <v>0.03</v>
      </c>
      <c r="BE196" s="6">
        <f t="shared" si="22"/>
        <v>0.03</v>
      </c>
      <c r="BF196" s="6">
        <f t="shared" si="22"/>
        <v>0.03</v>
      </c>
      <c r="BG196" s="6">
        <f t="shared" si="22"/>
        <v>0.03</v>
      </c>
      <c r="BH196" s="6">
        <f t="shared" si="22"/>
        <v>0.03</v>
      </c>
      <c r="BI196" s="6">
        <f t="shared" si="22"/>
        <v>0.03</v>
      </c>
      <c r="BJ196" s="6">
        <f t="shared" si="22"/>
        <v>0.03</v>
      </c>
    </row>
    <row r="197" spans="3:62" x14ac:dyDescent="0.15">
      <c r="D197" s="9" t="str">
        <f t="shared" si="21"/>
        <v>Темп роста Ежемесячный расход на цели 6</v>
      </c>
      <c r="E197" s="12" t="s">
        <v>4</v>
      </c>
      <c r="J197" s="6">
        <v>0</v>
      </c>
      <c r="K197" s="6">
        <f t="shared" ref="K197:BJ201" si="23">K$14</f>
        <v>0.03</v>
      </c>
      <c r="L197" s="6">
        <f t="shared" si="23"/>
        <v>0.03</v>
      </c>
      <c r="M197" s="6">
        <f t="shared" si="23"/>
        <v>0.03</v>
      </c>
      <c r="N197" s="6">
        <f t="shared" si="23"/>
        <v>0.03</v>
      </c>
      <c r="O197" s="6">
        <f t="shared" si="23"/>
        <v>0.03</v>
      </c>
      <c r="P197" s="6">
        <f t="shared" si="23"/>
        <v>0.03</v>
      </c>
      <c r="Q197" s="6">
        <f t="shared" si="23"/>
        <v>0.03</v>
      </c>
      <c r="R197" s="6">
        <f t="shared" si="23"/>
        <v>0.03</v>
      </c>
      <c r="S197" s="6">
        <f t="shared" si="23"/>
        <v>0.03</v>
      </c>
      <c r="T197" s="6">
        <f t="shared" si="23"/>
        <v>0.03</v>
      </c>
      <c r="U197" s="6">
        <f t="shared" si="23"/>
        <v>0.03</v>
      </c>
      <c r="V197" s="6">
        <f t="shared" si="23"/>
        <v>0.03</v>
      </c>
      <c r="W197" s="6">
        <f t="shared" si="23"/>
        <v>0.03</v>
      </c>
      <c r="X197" s="6">
        <f t="shared" si="23"/>
        <v>0.03</v>
      </c>
      <c r="Y197" s="6">
        <f t="shared" si="23"/>
        <v>0.03</v>
      </c>
      <c r="Z197" s="6">
        <f t="shared" si="23"/>
        <v>0.03</v>
      </c>
      <c r="AA197" s="6">
        <f t="shared" si="23"/>
        <v>0.03</v>
      </c>
      <c r="AB197" s="6">
        <f t="shared" si="23"/>
        <v>0.03</v>
      </c>
      <c r="AC197" s="6">
        <f t="shared" si="23"/>
        <v>0.03</v>
      </c>
      <c r="AD197" s="6">
        <f t="shared" si="23"/>
        <v>0.03</v>
      </c>
      <c r="AE197" s="6">
        <f t="shared" si="23"/>
        <v>0.03</v>
      </c>
      <c r="AF197" s="6">
        <f t="shared" si="23"/>
        <v>0.03</v>
      </c>
      <c r="AG197" s="6">
        <f t="shared" si="23"/>
        <v>0.03</v>
      </c>
      <c r="AH197" s="6">
        <f t="shared" si="23"/>
        <v>0.03</v>
      </c>
      <c r="AI197" s="6">
        <f t="shared" si="23"/>
        <v>0.03</v>
      </c>
      <c r="AJ197" s="6">
        <f t="shared" si="23"/>
        <v>0.03</v>
      </c>
      <c r="AK197" s="6">
        <f t="shared" si="23"/>
        <v>0.03</v>
      </c>
      <c r="AL197" s="6">
        <f t="shared" si="23"/>
        <v>0.03</v>
      </c>
      <c r="AM197" s="6">
        <f t="shared" si="23"/>
        <v>0.03</v>
      </c>
      <c r="AN197" s="6">
        <f t="shared" si="23"/>
        <v>0.03</v>
      </c>
      <c r="AO197" s="6">
        <f t="shared" si="23"/>
        <v>0.03</v>
      </c>
      <c r="AP197" s="6">
        <f t="shared" si="23"/>
        <v>0.03</v>
      </c>
      <c r="AQ197" s="6">
        <f t="shared" si="23"/>
        <v>0.03</v>
      </c>
      <c r="AR197" s="6">
        <f t="shared" si="23"/>
        <v>0.03</v>
      </c>
      <c r="AS197" s="6">
        <f t="shared" si="23"/>
        <v>0.03</v>
      </c>
      <c r="AT197" s="6">
        <f t="shared" si="23"/>
        <v>0.03</v>
      </c>
      <c r="AU197" s="6">
        <f t="shared" si="23"/>
        <v>0.03</v>
      </c>
      <c r="AV197" s="6">
        <f t="shared" si="23"/>
        <v>0.03</v>
      </c>
      <c r="AW197" s="6">
        <f t="shared" si="23"/>
        <v>0.03</v>
      </c>
      <c r="AX197" s="6">
        <f t="shared" si="23"/>
        <v>0.03</v>
      </c>
      <c r="AY197" s="6">
        <f t="shared" si="23"/>
        <v>0.03</v>
      </c>
      <c r="AZ197" s="6">
        <f t="shared" si="23"/>
        <v>0.03</v>
      </c>
      <c r="BA197" s="6">
        <f t="shared" si="23"/>
        <v>0.03</v>
      </c>
      <c r="BB197" s="6">
        <f t="shared" si="23"/>
        <v>0.03</v>
      </c>
      <c r="BC197" s="6">
        <f t="shared" si="23"/>
        <v>0.03</v>
      </c>
      <c r="BD197" s="6">
        <f t="shared" si="23"/>
        <v>0.03</v>
      </c>
      <c r="BE197" s="6">
        <f t="shared" si="23"/>
        <v>0.03</v>
      </c>
      <c r="BF197" s="6">
        <f t="shared" si="23"/>
        <v>0.03</v>
      </c>
      <c r="BG197" s="6">
        <f t="shared" si="23"/>
        <v>0.03</v>
      </c>
      <c r="BH197" s="6">
        <f t="shared" si="23"/>
        <v>0.03</v>
      </c>
      <c r="BI197" s="6">
        <f t="shared" si="23"/>
        <v>0.03</v>
      </c>
      <c r="BJ197" s="6">
        <f t="shared" si="23"/>
        <v>0.03</v>
      </c>
    </row>
    <row r="198" spans="3:62" x14ac:dyDescent="0.15">
      <c r="D198" s="9" t="str">
        <f t="shared" si="21"/>
        <v>Темп роста Ежемесячный расход на цели 7</v>
      </c>
      <c r="E198" s="12" t="s">
        <v>4</v>
      </c>
      <c r="J198" s="6">
        <v>0</v>
      </c>
      <c r="K198" s="6">
        <f t="shared" si="23"/>
        <v>0.03</v>
      </c>
      <c r="L198" s="6">
        <f t="shared" si="23"/>
        <v>0.03</v>
      </c>
      <c r="M198" s="6">
        <f t="shared" si="23"/>
        <v>0.03</v>
      </c>
      <c r="N198" s="6">
        <f t="shared" si="23"/>
        <v>0.03</v>
      </c>
      <c r="O198" s="6">
        <f t="shared" si="23"/>
        <v>0.03</v>
      </c>
      <c r="P198" s="6">
        <f t="shared" si="23"/>
        <v>0.03</v>
      </c>
      <c r="Q198" s="6">
        <f t="shared" si="23"/>
        <v>0.03</v>
      </c>
      <c r="R198" s="6">
        <f t="shared" si="23"/>
        <v>0.03</v>
      </c>
      <c r="S198" s="6">
        <f t="shared" si="23"/>
        <v>0.03</v>
      </c>
      <c r="T198" s="6">
        <f t="shared" si="23"/>
        <v>0.03</v>
      </c>
      <c r="U198" s="6">
        <f t="shared" si="23"/>
        <v>0.03</v>
      </c>
      <c r="V198" s="6">
        <f t="shared" si="23"/>
        <v>0.03</v>
      </c>
      <c r="W198" s="6">
        <f t="shared" si="23"/>
        <v>0.03</v>
      </c>
      <c r="X198" s="6">
        <f t="shared" si="23"/>
        <v>0.03</v>
      </c>
      <c r="Y198" s="6">
        <f t="shared" si="23"/>
        <v>0.03</v>
      </c>
      <c r="Z198" s="6">
        <f t="shared" si="23"/>
        <v>0.03</v>
      </c>
      <c r="AA198" s="6">
        <f t="shared" si="23"/>
        <v>0.03</v>
      </c>
      <c r="AB198" s="6">
        <f t="shared" si="23"/>
        <v>0.03</v>
      </c>
      <c r="AC198" s="6">
        <f t="shared" si="23"/>
        <v>0.03</v>
      </c>
      <c r="AD198" s="6">
        <f t="shared" si="23"/>
        <v>0.03</v>
      </c>
      <c r="AE198" s="6">
        <f t="shared" si="23"/>
        <v>0.03</v>
      </c>
      <c r="AF198" s="6">
        <f t="shared" si="23"/>
        <v>0.03</v>
      </c>
      <c r="AG198" s="6">
        <f t="shared" si="23"/>
        <v>0.03</v>
      </c>
      <c r="AH198" s="6">
        <f t="shared" si="23"/>
        <v>0.03</v>
      </c>
      <c r="AI198" s="6">
        <f t="shared" si="23"/>
        <v>0.03</v>
      </c>
      <c r="AJ198" s="6">
        <f t="shared" si="23"/>
        <v>0.03</v>
      </c>
      <c r="AK198" s="6">
        <f t="shared" si="23"/>
        <v>0.03</v>
      </c>
      <c r="AL198" s="6">
        <f t="shared" si="23"/>
        <v>0.03</v>
      </c>
      <c r="AM198" s="6">
        <f t="shared" si="23"/>
        <v>0.03</v>
      </c>
      <c r="AN198" s="6">
        <f t="shared" si="23"/>
        <v>0.03</v>
      </c>
      <c r="AO198" s="6">
        <f t="shared" si="23"/>
        <v>0.03</v>
      </c>
      <c r="AP198" s="6">
        <f t="shared" si="23"/>
        <v>0.03</v>
      </c>
      <c r="AQ198" s="6">
        <f t="shared" si="23"/>
        <v>0.03</v>
      </c>
      <c r="AR198" s="6">
        <f t="shared" si="23"/>
        <v>0.03</v>
      </c>
      <c r="AS198" s="6">
        <f t="shared" si="23"/>
        <v>0.03</v>
      </c>
      <c r="AT198" s="6">
        <f t="shared" si="23"/>
        <v>0.03</v>
      </c>
      <c r="AU198" s="6">
        <f t="shared" si="23"/>
        <v>0.03</v>
      </c>
      <c r="AV198" s="6">
        <f t="shared" si="23"/>
        <v>0.03</v>
      </c>
      <c r="AW198" s="6">
        <f t="shared" si="23"/>
        <v>0.03</v>
      </c>
      <c r="AX198" s="6">
        <f t="shared" si="23"/>
        <v>0.03</v>
      </c>
      <c r="AY198" s="6">
        <f t="shared" si="23"/>
        <v>0.03</v>
      </c>
      <c r="AZ198" s="6">
        <f t="shared" si="23"/>
        <v>0.03</v>
      </c>
      <c r="BA198" s="6">
        <f t="shared" si="23"/>
        <v>0.03</v>
      </c>
      <c r="BB198" s="6">
        <f t="shared" si="23"/>
        <v>0.03</v>
      </c>
      <c r="BC198" s="6">
        <f t="shared" si="23"/>
        <v>0.03</v>
      </c>
      <c r="BD198" s="6">
        <f t="shared" si="23"/>
        <v>0.03</v>
      </c>
      <c r="BE198" s="6">
        <f t="shared" si="23"/>
        <v>0.03</v>
      </c>
      <c r="BF198" s="6">
        <f t="shared" si="23"/>
        <v>0.03</v>
      </c>
      <c r="BG198" s="6">
        <f t="shared" si="23"/>
        <v>0.03</v>
      </c>
      <c r="BH198" s="6">
        <f t="shared" si="23"/>
        <v>0.03</v>
      </c>
      <c r="BI198" s="6">
        <f t="shared" si="23"/>
        <v>0.03</v>
      </c>
      <c r="BJ198" s="6">
        <f t="shared" si="23"/>
        <v>0.03</v>
      </c>
    </row>
    <row r="199" spans="3:62" x14ac:dyDescent="0.15">
      <c r="D199" s="9" t="str">
        <f t="shared" si="21"/>
        <v>Темп роста Ежемесячный расход на цели 8</v>
      </c>
      <c r="E199" s="12" t="s">
        <v>4</v>
      </c>
      <c r="J199" s="6">
        <v>0</v>
      </c>
      <c r="K199" s="6">
        <f t="shared" si="23"/>
        <v>0.03</v>
      </c>
      <c r="L199" s="6">
        <f t="shared" si="23"/>
        <v>0.03</v>
      </c>
      <c r="M199" s="6">
        <f t="shared" si="23"/>
        <v>0.03</v>
      </c>
      <c r="N199" s="6">
        <f t="shared" si="23"/>
        <v>0.03</v>
      </c>
      <c r="O199" s="6">
        <f t="shared" si="23"/>
        <v>0.03</v>
      </c>
      <c r="P199" s="6">
        <f t="shared" si="23"/>
        <v>0.03</v>
      </c>
      <c r="Q199" s="6">
        <f t="shared" si="23"/>
        <v>0.03</v>
      </c>
      <c r="R199" s="6">
        <f t="shared" si="23"/>
        <v>0.03</v>
      </c>
      <c r="S199" s="6">
        <f t="shared" si="23"/>
        <v>0.03</v>
      </c>
      <c r="T199" s="6">
        <f t="shared" si="23"/>
        <v>0.03</v>
      </c>
      <c r="U199" s="6">
        <f t="shared" si="23"/>
        <v>0.03</v>
      </c>
      <c r="V199" s="6">
        <f t="shared" si="23"/>
        <v>0.03</v>
      </c>
      <c r="W199" s="6">
        <f t="shared" si="23"/>
        <v>0.03</v>
      </c>
      <c r="X199" s="6">
        <f t="shared" si="23"/>
        <v>0.03</v>
      </c>
      <c r="Y199" s="6">
        <f t="shared" si="23"/>
        <v>0.03</v>
      </c>
      <c r="Z199" s="6">
        <f t="shared" si="23"/>
        <v>0.03</v>
      </c>
      <c r="AA199" s="6">
        <f t="shared" si="23"/>
        <v>0.03</v>
      </c>
      <c r="AB199" s="6">
        <f t="shared" si="23"/>
        <v>0.03</v>
      </c>
      <c r="AC199" s="6">
        <f t="shared" si="23"/>
        <v>0.03</v>
      </c>
      <c r="AD199" s="6">
        <f t="shared" si="23"/>
        <v>0.03</v>
      </c>
      <c r="AE199" s="6">
        <f t="shared" si="23"/>
        <v>0.03</v>
      </c>
      <c r="AF199" s="6">
        <f t="shared" si="23"/>
        <v>0.03</v>
      </c>
      <c r="AG199" s="6">
        <f t="shared" si="23"/>
        <v>0.03</v>
      </c>
      <c r="AH199" s="6">
        <f t="shared" si="23"/>
        <v>0.03</v>
      </c>
      <c r="AI199" s="6">
        <f t="shared" si="23"/>
        <v>0.03</v>
      </c>
      <c r="AJ199" s="6">
        <f t="shared" si="23"/>
        <v>0.03</v>
      </c>
      <c r="AK199" s="6">
        <f t="shared" si="23"/>
        <v>0.03</v>
      </c>
      <c r="AL199" s="6">
        <f t="shared" si="23"/>
        <v>0.03</v>
      </c>
      <c r="AM199" s="6">
        <f t="shared" si="23"/>
        <v>0.03</v>
      </c>
      <c r="AN199" s="6">
        <f t="shared" si="23"/>
        <v>0.03</v>
      </c>
      <c r="AO199" s="6">
        <f t="shared" si="23"/>
        <v>0.03</v>
      </c>
      <c r="AP199" s="6">
        <f t="shared" si="23"/>
        <v>0.03</v>
      </c>
      <c r="AQ199" s="6">
        <f t="shared" si="23"/>
        <v>0.03</v>
      </c>
      <c r="AR199" s="6">
        <f t="shared" si="23"/>
        <v>0.03</v>
      </c>
      <c r="AS199" s="6">
        <f t="shared" si="23"/>
        <v>0.03</v>
      </c>
      <c r="AT199" s="6">
        <f t="shared" si="23"/>
        <v>0.03</v>
      </c>
      <c r="AU199" s="6">
        <f t="shared" si="23"/>
        <v>0.03</v>
      </c>
      <c r="AV199" s="6">
        <f t="shared" si="23"/>
        <v>0.03</v>
      </c>
      <c r="AW199" s="6">
        <f t="shared" si="23"/>
        <v>0.03</v>
      </c>
      <c r="AX199" s="6">
        <f t="shared" si="23"/>
        <v>0.03</v>
      </c>
      <c r="AY199" s="6">
        <f t="shared" si="23"/>
        <v>0.03</v>
      </c>
      <c r="AZ199" s="6">
        <f t="shared" si="23"/>
        <v>0.03</v>
      </c>
      <c r="BA199" s="6">
        <f t="shared" si="23"/>
        <v>0.03</v>
      </c>
      <c r="BB199" s="6">
        <f t="shared" si="23"/>
        <v>0.03</v>
      </c>
      <c r="BC199" s="6">
        <f t="shared" si="23"/>
        <v>0.03</v>
      </c>
      <c r="BD199" s="6">
        <f t="shared" si="23"/>
        <v>0.03</v>
      </c>
      <c r="BE199" s="6">
        <f t="shared" si="23"/>
        <v>0.03</v>
      </c>
      <c r="BF199" s="6">
        <f t="shared" si="23"/>
        <v>0.03</v>
      </c>
      <c r="BG199" s="6">
        <f t="shared" si="23"/>
        <v>0.03</v>
      </c>
      <c r="BH199" s="6">
        <f t="shared" si="23"/>
        <v>0.03</v>
      </c>
      <c r="BI199" s="6">
        <f t="shared" si="23"/>
        <v>0.03</v>
      </c>
      <c r="BJ199" s="6">
        <f t="shared" si="23"/>
        <v>0.03</v>
      </c>
    </row>
    <row r="200" spans="3:62" x14ac:dyDescent="0.15">
      <c r="D200" s="9" t="str">
        <f t="shared" si="21"/>
        <v>Темп роста Ежемесячный расход на цели 9</v>
      </c>
      <c r="E200" s="12" t="s">
        <v>4</v>
      </c>
      <c r="J200" s="6">
        <v>0</v>
      </c>
      <c r="K200" s="6">
        <f t="shared" si="23"/>
        <v>0.03</v>
      </c>
      <c r="L200" s="6">
        <f t="shared" si="23"/>
        <v>0.03</v>
      </c>
      <c r="M200" s="6">
        <f t="shared" si="23"/>
        <v>0.03</v>
      </c>
      <c r="N200" s="6">
        <f t="shared" si="23"/>
        <v>0.03</v>
      </c>
      <c r="O200" s="6">
        <f t="shared" si="23"/>
        <v>0.03</v>
      </c>
      <c r="P200" s="6">
        <f t="shared" si="23"/>
        <v>0.03</v>
      </c>
      <c r="Q200" s="6">
        <f t="shared" si="23"/>
        <v>0.03</v>
      </c>
      <c r="R200" s="6">
        <f t="shared" si="23"/>
        <v>0.03</v>
      </c>
      <c r="S200" s="6">
        <f t="shared" si="23"/>
        <v>0.03</v>
      </c>
      <c r="T200" s="6">
        <f t="shared" si="23"/>
        <v>0.03</v>
      </c>
      <c r="U200" s="6">
        <f t="shared" si="23"/>
        <v>0.03</v>
      </c>
      <c r="V200" s="6">
        <f t="shared" si="23"/>
        <v>0.03</v>
      </c>
      <c r="W200" s="6">
        <f t="shared" si="23"/>
        <v>0.03</v>
      </c>
      <c r="X200" s="6">
        <f t="shared" si="23"/>
        <v>0.03</v>
      </c>
      <c r="Y200" s="6">
        <f t="shared" si="23"/>
        <v>0.03</v>
      </c>
      <c r="Z200" s="6">
        <f t="shared" si="23"/>
        <v>0.03</v>
      </c>
      <c r="AA200" s="6">
        <f t="shared" si="23"/>
        <v>0.03</v>
      </c>
      <c r="AB200" s="6">
        <f t="shared" si="23"/>
        <v>0.03</v>
      </c>
      <c r="AC200" s="6">
        <f t="shared" si="23"/>
        <v>0.03</v>
      </c>
      <c r="AD200" s="6">
        <f t="shared" si="23"/>
        <v>0.03</v>
      </c>
      <c r="AE200" s="6">
        <f t="shared" si="23"/>
        <v>0.03</v>
      </c>
      <c r="AF200" s="6">
        <f t="shared" si="23"/>
        <v>0.03</v>
      </c>
      <c r="AG200" s="6">
        <f t="shared" si="23"/>
        <v>0.03</v>
      </c>
      <c r="AH200" s="6">
        <f t="shared" si="23"/>
        <v>0.03</v>
      </c>
      <c r="AI200" s="6">
        <f t="shared" si="23"/>
        <v>0.03</v>
      </c>
      <c r="AJ200" s="6">
        <f t="shared" si="23"/>
        <v>0.03</v>
      </c>
      <c r="AK200" s="6">
        <f t="shared" si="23"/>
        <v>0.03</v>
      </c>
      <c r="AL200" s="6">
        <f t="shared" si="23"/>
        <v>0.03</v>
      </c>
      <c r="AM200" s="6">
        <f t="shared" si="23"/>
        <v>0.03</v>
      </c>
      <c r="AN200" s="6">
        <f t="shared" si="23"/>
        <v>0.03</v>
      </c>
      <c r="AO200" s="6">
        <f t="shared" si="23"/>
        <v>0.03</v>
      </c>
      <c r="AP200" s="6">
        <f t="shared" si="23"/>
        <v>0.03</v>
      </c>
      <c r="AQ200" s="6">
        <f t="shared" si="23"/>
        <v>0.03</v>
      </c>
      <c r="AR200" s="6">
        <f t="shared" si="23"/>
        <v>0.03</v>
      </c>
      <c r="AS200" s="6">
        <f t="shared" si="23"/>
        <v>0.03</v>
      </c>
      <c r="AT200" s="6">
        <f t="shared" si="23"/>
        <v>0.03</v>
      </c>
      <c r="AU200" s="6">
        <f t="shared" si="23"/>
        <v>0.03</v>
      </c>
      <c r="AV200" s="6">
        <f t="shared" si="23"/>
        <v>0.03</v>
      </c>
      <c r="AW200" s="6">
        <f t="shared" si="23"/>
        <v>0.03</v>
      </c>
      <c r="AX200" s="6">
        <f t="shared" si="23"/>
        <v>0.03</v>
      </c>
      <c r="AY200" s="6">
        <f t="shared" si="23"/>
        <v>0.03</v>
      </c>
      <c r="AZ200" s="6">
        <f t="shared" si="23"/>
        <v>0.03</v>
      </c>
      <c r="BA200" s="6">
        <f t="shared" si="23"/>
        <v>0.03</v>
      </c>
      <c r="BB200" s="6">
        <f t="shared" si="23"/>
        <v>0.03</v>
      </c>
      <c r="BC200" s="6">
        <f t="shared" si="23"/>
        <v>0.03</v>
      </c>
      <c r="BD200" s="6">
        <f t="shared" si="23"/>
        <v>0.03</v>
      </c>
      <c r="BE200" s="6">
        <f t="shared" si="23"/>
        <v>0.03</v>
      </c>
      <c r="BF200" s="6">
        <f t="shared" si="23"/>
        <v>0.03</v>
      </c>
      <c r="BG200" s="6">
        <f t="shared" si="23"/>
        <v>0.03</v>
      </c>
      <c r="BH200" s="6">
        <f t="shared" si="23"/>
        <v>0.03</v>
      </c>
      <c r="BI200" s="6">
        <f t="shared" si="23"/>
        <v>0.03</v>
      </c>
      <c r="BJ200" s="6">
        <f t="shared" si="23"/>
        <v>0.03</v>
      </c>
    </row>
    <row r="201" spans="3:62" x14ac:dyDescent="0.15">
      <c r="D201" s="9" t="str">
        <f t="shared" si="21"/>
        <v>Темп роста Ежемесячный расход на цели 10</v>
      </c>
      <c r="E201" s="12" t="s">
        <v>4</v>
      </c>
      <c r="J201" s="6">
        <v>0</v>
      </c>
      <c r="K201" s="6">
        <f t="shared" si="23"/>
        <v>0.03</v>
      </c>
      <c r="L201" s="6">
        <f t="shared" si="23"/>
        <v>0.03</v>
      </c>
      <c r="M201" s="6">
        <f t="shared" si="23"/>
        <v>0.03</v>
      </c>
      <c r="N201" s="6">
        <f t="shared" si="23"/>
        <v>0.03</v>
      </c>
      <c r="O201" s="6">
        <f t="shared" si="23"/>
        <v>0.03</v>
      </c>
      <c r="P201" s="6">
        <f t="shared" si="23"/>
        <v>0.03</v>
      </c>
      <c r="Q201" s="6">
        <f t="shared" si="23"/>
        <v>0.03</v>
      </c>
      <c r="R201" s="6">
        <f t="shared" si="23"/>
        <v>0.03</v>
      </c>
      <c r="S201" s="6">
        <f t="shared" si="23"/>
        <v>0.03</v>
      </c>
      <c r="T201" s="6">
        <f t="shared" si="23"/>
        <v>0.03</v>
      </c>
      <c r="U201" s="6">
        <f t="shared" si="23"/>
        <v>0.03</v>
      </c>
      <c r="V201" s="6">
        <f t="shared" si="23"/>
        <v>0.03</v>
      </c>
      <c r="W201" s="6">
        <f t="shared" si="23"/>
        <v>0.03</v>
      </c>
      <c r="X201" s="6">
        <f t="shared" si="23"/>
        <v>0.03</v>
      </c>
      <c r="Y201" s="6">
        <f t="shared" si="23"/>
        <v>0.03</v>
      </c>
      <c r="Z201" s="6">
        <f t="shared" si="23"/>
        <v>0.03</v>
      </c>
      <c r="AA201" s="6">
        <f t="shared" si="23"/>
        <v>0.03</v>
      </c>
      <c r="AB201" s="6">
        <f t="shared" si="23"/>
        <v>0.03</v>
      </c>
      <c r="AC201" s="6">
        <f t="shared" si="23"/>
        <v>0.03</v>
      </c>
      <c r="AD201" s="6">
        <f t="shared" si="23"/>
        <v>0.03</v>
      </c>
      <c r="AE201" s="6">
        <f t="shared" si="23"/>
        <v>0.03</v>
      </c>
      <c r="AF201" s="6">
        <f t="shared" si="23"/>
        <v>0.03</v>
      </c>
      <c r="AG201" s="6">
        <f t="shared" si="23"/>
        <v>0.03</v>
      </c>
      <c r="AH201" s="6">
        <f t="shared" si="23"/>
        <v>0.03</v>
      </c>
      <c r="AI201" s="6">
        <f t="shared" si="23"/>
        <v>0.03</v>
      </c>
      <c r="AJ201" s="6">
        <f t="shared" si="23"/>
        <v>0.03</v>
      </c>
      <c r="AK201" s="6">
        <f t="shared" si="23"/>
        <v>0.03</v>
      </c>
      <c r="AL201" s="6">
        <f t="shared" si="23"/>
        <v>0.03</v>
      </c>
      <c r="AM201" s="6">
        <f t="shared" si="23"/>
        <v>0.03</v>
      </c>
      <c r="AN201" s="6">
        <f t="shared" si="23"/>
        <v>0.03</v>
      </c>
      <c r="AO201" s="6">
        <f t="shared" si="23"/>
        <v>0.03</v>
      </c>
      <c r="AP201" s="6">
        <f t="shared" si="23"/>
        <v>0.03</v>
      </c>
      <c r="AQ201" s="6">
        <f t="shared" si="23"/>
        <v>0.03</v>
      </c>
      <c r="AR201" s="6">
        <f t="shared" si="23"/>
        <v>0.03</v>
      </c>
      <c r="AS201" s="6">
        <f t="shared" si="23"/>
        <v>0.03</v>
      </c>
      <c r="AT201" s="6">
        <f t="shared" si="23"/>
        <v>0.03</v>
      </c>
      <c r="AU201" s="6">
        <f t="shared" si="23"/>
        <v>0.03</v>
      </c>
      <c r="AV201" s="6">
        <f t="shared" si="23"/>
        <v>0.03</v>
      </c>
      <c r="AW201" s="6">
        <f t="shared" si="23"/>
        <v>0.03</v>
      </c>
      <c r="AX201" s="6">
        <f t="shared" si="23"/>
        <v>0.03</v>
      </c>
      <c r="AY201" s="6">
        <f t="shared" si="23"/>
        <v>0.03</v>
      </c>
      <c r="AZ201" s="6">
        <f t="shared" si="23"/>
        <v>0.03</v>
      </c>
      <c r="BA201" s="6">
        <f t="shared" ref="BA201:BJ201" si="24">BA$14</f>
        <v>0.03</v>
      </c>
      <c r="BB201" s="6">
        <f t="shared" si="24"/>
        <v>0.03</v>
      </c>
      <c r="BC201" s="6">
        <f t="shared" si="24"/>
        <v>0.03</v>
      </c>
      <c r="BD201" s="6">
        <f t="shared" si="24"/>
        <v>0.03</v>
      </c>
      <c r="BE201" s="6">
        <f t="shared" si="24"/>
        <v>0.03</v>
      </c>
      <c r="BF201" s="6">
        <f t="shared" si="24"/>
        <v>0.03</v>
      </c>
      <c r="BG201" s="6">
        <f t="shared" si="24"/>
        <v>0.03</v>
      </c>
      <c r="BH201" s="6">
        <f t="shared" si="24"/>
        <v>0.03</v>
      </c>
      <c r="BI201" s="6">
        <f t="shared" si="24"/>
        <v>0.03</v>
      </c>
      <c r="BJ201" s="6">
        <f t="shared" si="24"/>
        <v>0.03</v>
      </c>
    </row>
    <row r="202" spans="3:62" collapsed="1" x14ac:dyDescent="0.15"/>
    <row r="203" spans="3:62" x14ac:dyDescent="0.15">
      <c r="C203" s="2">
        <f>MAX( $B$7:C202 ) + 0.1</f>
        <v>4.1999999999999993</v>
      </c>
      <c r="D203" s="2" t="s">
        <v>28</v>
      </c>
      <c r="E203" s="14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</row>
    <row r="205" spans="3:62" x14ac:dyDescent="0.15">
      <c r="D205" s="8" t="s">
        <v>28</v>
      </c>
    </row>
    <row r="206" spans="3:62" x14ac:dyDescent="0.15">
      <c r="D206" s="10" t="s">
        <v>131</v>
      </c>
      <c r="E206" s="12" t="s">
        <v>110</v>
      </c>
      <c r="F206" s="16">
        <v>-20000</v>
      </c>
    </row>
    <row r="207" spans="3:62" x14ac:dyDescent="0.15">
      <c r="D207" s="10" t="s">
        <v>52</v>
      </c>
      <c r="E207" s="12" t="s">
        <v>110</v>
      </c>
      <c r="F207" s="4">
        <v>0</v>
      </c>
    </row>
    <row r="208" spans="3:62" x14ac:dyDescent="0.15">
      <c r="D208" s="10" t="s">
        <v>53</v>
      </c>
      <c r="E208" s="12" t="s">
        <v>110</v>
      </c>
      <c r="F208" s="4">
        <v>0</v>
      </c>
    </row>
    <row r="209" spans="4:62" x14ac:dyDescent="0.15">
      <c r="D209" s="10" t="s">
        <v>54</v>
      </c>
      <c r="E209" s="12" t="s">
        <v>110</v>
      </c>
      <c r="F209" s="4">
        <v>0</v>
      </c>
    </row>
    <row r="210" spans="4:62" x14ac:dyDescent="0.15">
      <c r="D210" s="10" t="s">
        <v>55</v>
      </c>
      <c r="E210" s="12" t="s">
        <v>110</v>
      </c>
      <c r="F210" s="4">
        <v>0</v>
      </c>
    </row>
    <row r="211" spans="4:62" x14ac:dyDescent="0.15">
      <c r="D211" s="10" t="s">
        <v>56</v>
      </c>
      <c r="E211" s="12" t="s">
        <v>110</v>
      </c>
      <c r="F211" s="4">
        <v>0</v>
      </c>
    </row>
    <row r="212" spans="4:62" x14ac:dyDescent="0.15">
      <c r="D212" s="10" t="s">
        <v>57</v>
      </c>
      <c r="E212" s="12" t="s">
        <v>110</v>
      </c>
      <c r="F212" s="4">
        <v>0</v>
      </c>
    </row>
    <row r="213" spans="4:62" x14ac:dyDescent="0.15">
      <c r="D213" s="10" t="s">
        <v>58</v>
      </c>
      <c r="E213" s="12" t="s">
        <v>110</v>
      </c>
      <c r="F213" s="4">
        <v>0</v>
      </c>
    </row>
    <row r="214" spans="4:62" x14ac:dyDescent="0.15">
      <c r="D214" s="10" t="s">
        <v>59</v>
      </c>
      <c r="E214" s="12" t="s">
        <v>110</v>
      </c>
      <c r="F214" s="4">
        <v>0</v>
      </c>
    </row>
    <row r="215" spans="4:62" x14ac:dyDescent="0.15">
      <c r="D215" s="10" t="s">
        <v>60</v>
      </c>
      <c r="E215" s="12" t="s">
        <v>110</v>
      </c>
      <c r="F215" s="4">
        <v>0</v>
      </c>
    </row>
    <row r="217" spans="4:62" x14ac:dyDescent="0.15">
      <c r="D217" s="8" t="s">
        <v>26</v>
      </c>
    </row>
    <row r="218" spans="4:62" x14ac:dyDescent="0.15">
      <c r="D218" s="9" t="str">
        <f>"Темп роста " &amp; D206</f>
        <v>Темп роста Отдых</v>
      </c>
      <c r="E218" s="12" t="s">
        <v>4</v>
      </c>
      <c r="J218" s="6">
        <v>0</v>
      </c>
      <c r="K218" s="6">
        <f t="shared" ref="K218:BJ222" si="25">K$14</f>
        <v>0.03</v>
      </c>
      <c r="L218" s="6">
        <f t="shared" si="25"/>
        <v>0.03</v>
      </c>
      <c r="M218" s="6">
        <f t="shared" si="25"/>
        <v>0.03</v>
      </c>
      <c r="N218" s="6">
        <f t="shared" si="25"/>
        <v>0.03</v>
      </c>
      <c r="O218" s="6">
        <f t="shared" si="25"/>
        <v>0.03</v>
      </c>
      <c r="P218" s="6">
        <f t="shared" si="25"/>
        <v>0.03</v>
      </c>
      <c r="Q218" s="6">
        <f t="shared" si="25"/>
        <v>0.03</v>
      </c>
      <c r="R218" s="6">
        <f t="shared" si="25"/>
        <v>0.03</v>
      </c>
      <c r="S218" s="6">
        <f t="shared" si="25"/>
        <v>0.03</v>
      </c>
      <c r="T218" s="6">
        <f t="shared" si="25"/>
        <v>0.03</v>
      </c>
      <c r="U218" s="6">
        <f t="shared" si="25"/>
        <v>0.03</v>
      </c>
      <c r="V218" s="6">
        <f t="shared" si="25"/>
        <v>0.03</v>
      </c>
      <c r="W218" s="6">
        <f t="shared" si="25"/>
        <v>0.03</v>
      </c>
      <c r="X218" s="6">
        <f t="shared" si="25"/>
        <v>0.03</v>
      </c>
      <c r="Y218" s="6">
        <f t="shared" si="25"/>
        <v>0.03</v>
      </c>
      <c r="Z218" s="6">
        <f t="shared" si="25"/>
        <v>0.03</v>
      </c>
      <c r="AA218" s="6">
        <f t="shared" si="25"/>
        <v>0.03</v>
      </c>
      <c r="AB218" s="6">
        <f t="shared" si="25"/>
        <v>0.03</v>
      </c>
      <c r="AC218" s="6">
        <f t="shared" si="25"/>
        <v>0.03</v>
      </c>
      <c r="AD218" s="6">
        <f t="shared" si="25"/>
        <v>0.03</v>
      </c>
      <c r="AE218" s="6">
        <f t="shared" si="25"/>
        <v>0.03</v>
      </c>
      <c r="AF218" s="6">
        <f t="shared" si="25"/>
        <v>0.03</v>
      </c>
      <c r="AG218" s="6">
        <f t="shared" si="25"/>
        <v>0.03</v>
      </c>
      <c r="AH218" s="6">
        <f t="shared" si="25"/>
        <v>0.03</v>
      </c>
      <c r="AI218" s="6">
        <f t="shared" si="25"/>
        <v>0.03</v>
      </c>
      <c r="AJ218" s="6">
        <f t="shared" si="25"/>
        <v>0.03</v>
      </c>
      <c r="AK218" s="6">
        <f t="shared" si="25"/>
        <v>0.03</v>
      </c>
      <c r="AL218" s="6">
        <f t="shared" si="25"/>
        <v>0.03</v>
      </c>
      <c r="AM218" s="6">
        <f t="shared" si="25"/>
        <v>0.03</v>
      </c>
      <c r="AN218" s="6">
        <f t="shared" si="25"/>
        <v>0.03</v>
      </c>
      <c r="AO218" s="6">
        <f t="shared" si="25"/>
        <v>0.03</v>
      </c>
      <c r="AP218" s="6">
        <f t="shared" si="25"/>
        <v>0.03</v>
      </c>
      <c r="AQ218" s="6">
        <f t="shared" si="25"/>
        <v>0.03</v>
      </c>
      <c r="AR218" s="6">
        <f t="shared" si="25"/>
        <v>0.03</v>
      </c>
      <c r="AS218" s="6">
        <f t="shared" si="25"/>
        <v>0.03</v>
      </c>
      <c r="AT218" s="6">
        <f t="shared" si="25"/>
        <v>0.03</v>
      </c>
      <c r="AU218" s="6">
        <f t="shared" si="25"/>
        <v>0.03</v>
      </c>
      <c r="AV218" s="6">
        <f t="shared" si="25"/>
        <v>0.03</v>
      </c>
      <c r="AW218" s="6">
        <f t="shared" si="25"/>
        <v>0.03</v>
      </c>
      <c r="AX218" s="6">
        <f t="shared" si="25"/>
        <v>0.03</v>
      </c>
      <c r="AY218" s="6">
        <f t="shared" si="25"/>
        <v>0.03</v>
      </c>
      <c r="AZ218" s="6">
        <f t="shared" si="25"/>
        <v>0.03</v>
      </c>
      <c r="BA218" s="6">
        <f t="shared" si="25"/>
        <v>0.03</v>
      </c>
      <c r="BB218" s="6">
        <f t="shared" si="25"/>
        <v>0.03</v>
      </c>
      <c r="BC218" s="6">
        <f t="shared" si="25"/>
        <v>0.03</v>
      </c>
      <c r="BD218" s="6">
        <f t="shared" si="25"/>
        <v>0.03</v>
      </c>
      <c r="BE218" s="6">
        <f t="shared" si="25"/>
        <v>0.03</v>
      </c>
      <c r="BF218" s="6">
        <f t="shared" si="25"/>
        <v>0.03</v>
      </c>
      <c r="BG218" s="6">
        <f t="shared" si="25"/>
        <v>0.03</v>
      </c>
      <c r="BH218" s="6">
        <f t="shared" si="25"/>
        <v>0.03</v>
      </c>
      <c r="BI218" s="6">
        <f t="shared" si="25"/>
        <v>0.03</v>
      </c>
      <c r="BJ218" s="6">
        <f t="shared" si="25"/>
        <v>0.03</v>
      </c>
    </row>
    <row r="219" spans="4:62" x14ac:dyDescent="0.15">
      <c r="D219" s="9" t="str">
        <f>"Темп роста " &amp; D207</f>
        <v>Темп роста Ежегодный расход на цели 2</v>
      </c>
      <c r="E219" s="12" t="s">
        <v>4</v>
      </c>
      <c r="J219" s="6">
        <v>0</v>
      </c>
      <c r="K219" s="6">
        <f t="shared" si="25"/>
        <v>0.03</v>
      </c>
      <c r="L219" s="6">
        <f t="shared" si="25"/>
        <v>0.03</v>
      </c>
      <c r="M219" s="6">
        <f t="shared" si="25"/>
        <v>0.03</v>
      </c>
      <c r="N219" s="6">
        <f t="shared" si="25"/>
        <v>0.03</v>
      </c>
      <c r="O219" s="6">
        <f t="shared" si="25"/>
        <v>0.03</v>
      </c>
      <c r="P219" s="6">
        <f t="shared" si="25"/>
        <v>0.03</v>
      </c>
      <c r="Q219" s="6">
        <f t="shared" si="25"/>
        <v>0.03</v>
      </c>
      <c r="R219" s="6">
        <f t="shared" si="25"/>
        <v>0.03</v>
      </c>
      <c r="S219" s="6">
        <f t="shared" si="25"/>
        <v>0.03</v>
      </c>
      <c r="T219" s="6">
        <f t="shared" si="25"/>
        <v>0.03</v>
      </c>
      <c r="U219" s="6">
        <f t="shared" si="25"/>
        <v>0.03</v>
      </c>
      <c r="V219" s="6">
        <f t="shared" si="25"/>
        <v>0.03</v>
      </c>
      <c r="W219" s="6">
        <f t="shared" si="25"/>
        <v>0.03</v>
      </c>
      <c r="X219" s="6">
        <f t="shared" si="25"/>
        <v>0.03</v>
      </c>
      <c r="Y219" s="6">
        <f t="shared" si="25"/>
        <v>0.03</v>
      </c>
      <c r="Z219" s="6">
        <f t="shared" si="25"/>
        <v>0.03</v>
      </c>
      <c r="AA219" s="6">
        <f t="shared" si="25"/>
        <v>0.03</v>
      </c>
      <c r="AB219" s="6">
        <f t="shared" si="25"/>
        <v>0.03</v>
      </c>
      <c r="AC219" s="6">
        <f t="shared" si="25"/>
        <v>0.03</v>
      </c>
      <c r="AD219" s="6">
        <f t="shared" si="25"/>
        <v>0.03</v>
      </c>
      <c r="AE219" s="6">
        <f t="shared" si="25"/>
        <v>0.03</v>
      </c>
      <c r="AF219" s="6">
        <f t="shared" si="25"/>
        <v>0.03</v>
      </c>
      <c r="AG219" s="6">
        <f t="shared" si="25"/>
        <v>0.03</v>
      </c>
      <c r="AH219" s="6">
        <f t="shared" si="25"/>
        <v>0.03</v>
      </c>
      <c r="AI219" s="6">
        <f t="shared" si="25"/>
        <v>0.03</v>
      </c>
      <c r="AJ219" s="6">
        <f t="shared" si="25"/>
        <v>0.03</v>
      </c>
      <c r="AK219" s="6">
        <f t="shared" si="25"/>
        <v>0.03</v>
      </c>
      <c r="AL219" s="6">
        <f t="shared" si="25"/>
        <v>0.03</v>
      </c>
      <c r="AM219" s="6">
        <f t="shared" si="25"/>
        <v>0.03</v>
      </c>
      <c r="AN219" s="6">
        <f t="shared" si="25"/>
        <v>0.03</v>
      </c>
      <c r="AO219" s="6">
        <f t="shared" si="25"/>
        <v>0.03</v>
      </c>
      <c r="AP219" s="6">
        <f t="shared" si="25"/>
        <v>0.03</v>
      </c>
      <c r="AQ219" s="6">
        <f t="shared" si="25"/>
        <v>0.03</v>
      </c>
      <c r="AR219" s="6">
        <f t="shared" si="25"/>
        <v>0.03</v>
      </c>
      <c r="AS219" s="6">
        <f t="shared" si="25"/>
        <v>0.03</v>
      </c>
      <c r="AT219" s="6">
        <f t="shared" si="25"/>
        <v>0.03</v>
      </c>
      <c r="AU219" s="6">
        <f t="shared" si="25"/>
        <v>0.03</v>
      </c>
      <c r="AV219" s="6">
        <f t="shared" si="25"/>
        <v>0.03</v>
      </c>
      <c r="AW219" s="6">
        <f t="shared" si="25"/>
        <v>0.03</v>
      </c>
      <c r="AX219" s="6">
        <f t="shared" si="25"/>
        <v>0.03</v>
      </c>
      <c r="AY219" s="6">
        <f t="shared" si="25"/>
        <v>0.03</v>
      </c>
      <c r="AZ219" s="6">
        <f t="shared" si="25"/>
        <v>0.03</v>
      </c>
      <c r="BA219" s="6">
        <f t="shared" si="25"/>
        <v>0.03</v>
      </c>
      <c r="BB219" s="6">
        <f t="shared" si="25"/>
        <v>0.03</v>
      </c>
      <c r="BC219" s="6">
        <f t="shared" si="25"/>
        <v>0.03</v>
      </c>
      <c r="BD219" s="6">
        <f t="shared" si="25"/>
        <v>0.03</v>
      </c>
      <c r="BE219" s="6">
        <f t="shared" si="25"/>
        <v>0.03</v>
      </c>
      <c r="BF219" s="6">
        <f t="shared" si="25"/>
        <v>0.03</v>
      </c>
      <c r="BG219" s="6">
        <f t="shared" si="25"/>
        <v>0.03</v>
      </c>
      <c r="BH219" s="6">
        <f t="shared" si="25"/>
        <v>0.03</v>
      </c>
      <c r="BI219" s="6">
        <f t="shared" si="25"/>
        <v>0.03</v>
      </c>
      <c r="BJ219" s="6">
        <f t="shared" si="25"/>
        <v>0.03</v>
      </c>
    </row>
    <row r="220" spans="4:62" x14ac:dyDescent="0.15">
      <c r="D220" s="9" t="str">
        <f>"Темп роста " &amp; D208</f>
        <v>Темп роста Ежегодный расход на цели 3</v>
      </c>
      <c r="E220" s="12" t="s">
        <v>4</v>
      </c>
      <c r="J220" s="6">
        <v>0</v>
      </c>
      <c r="K220" s="6">
        <f t="shared" si="25"/>
        <v>0.03</v>
      </c>
      <c r="L220" s="6">
        <f t="shared" si="25"/>
        <v>0.03</v>
      </c>
      <c r="M220" s="6">
        <f t="shared" si="25"/>
        <v>0.03</v>
      </c>
      <c r="N220" s="6">
        <f t="shared" si="25"/>
        <v>0.03</v>
      </c>
      <c r="O220" s="6">
        <f t="shared" si="25"/>
        <v>0.03</v>
      </c>
      <c r="P220" s="6">
        <f t="shared" si="25"/>
        <v>0.03</v>
      </c>
      <c r="Q220" s="6">
        <f t="shared" si="25"/>
        <v>0.03</v>
      </c>
      <c r="R220" s="6">
        <f t="shared" si="25"/>
        <v>0.03</v>
      </c>
      <c r="S220" s="6">
        <f t="shared" si="25"/>
        <v>0.03</v>
      </c>
      <c r="T220" s="6">
        <f t="shared" si="25"/>
        <v>0.03</v>
      </c>
      <c r="U220" s="6">
        <f t="shared" si="25"/>
        <v>0.03</v>
      </c>
      <c r="V220" s="6">
        <f t="shared" si="25"/>
        <v>0.03</v>
      </c>
      <c r="W220" s="6">
        <f t="shared" si="25"/>
        <v>0.03</v>
      </c>
      <c r="X220" s="6">
        <f t="shared" si="25"/>
        <v>0.03</v>
      </c>
      <c r="Y220" s="6">
        <f t="shared" si="25"/>
        <v>0.03</v>
      </c>
      <c r="Z220" s="6">
        <f t="shared" si="25"/>
        <v>0.03</v>
      </c>
      <c r="AA220" s="6">
        <f t="shared" si="25"/>
        <v>0.03</v>
      </c>
      <c r="AB220" s="6">
        <f t="shared" si="25"/>
        <v>0.03</v>
      </c>
      <c r="AC220" s="6">
        <f t="shared" si="25"/>
        <v>0.03</v>
      </c>
      <c r="AD220" s="6">
        <f t="shared" si="25"/>
        <v>0.03</v>
      </c>
      <c r="AE220" s="6">
        <f t="shared" si="25"/>
        <v>0.03</v>
      </c>
      <c r="AF220" s="6">
        <f t="shared" si="25"/>
        <v>0.03</v>
      </c>
      <c r="AG220" s="6">
        <f t="shared" si="25"/>
        <v>0.03</v>
      </c>
      <c r="AH220" s="6">
        <f t="shared" si="25"/>
        <v>0.03</v>
      </c>
      <c r="AI220" s="6">
        <f t="shared" si="25"/>
        <v>0.03</v>
      </c>
      <c r="AJ220" s="6">
        <f t="shared" si="25"/>
        <v>0.03</v>
      </c>
      <c r="AK220" s="6">
        <f t="shared" si="25"/>
        <v>0.03</v>
      </c>
      <c r="AL220" s="6">
        <f t="shared" si="25"/>
        <v>0.03</v>
      </c>
      <c r="AM220" s="6">
        <f t="shared" si="25"/>
        <v>0.03</v>
      </c>
      <c r="AN220" s="6">
        <f t="shared" si="25"/>
        <v>0.03</v>
      </c>
      <c r="AO220" s="6">
        <f t="shared" si="25"/>
        <v>0.03</v>
      </c>
      <c r="AP220" s="6">
        <f t="shared" si="25"/>
        <v>0.03</v>
      </c>
      <c r="AQ220" s="6">
        <f t="shared" si="25"/>
        <v>0.03</v>
      </c>
      <c r="AR220" s="6">
        <f t="shared" si="25"/>
        <v>0.03</v>
      </c>
      <c r="AS220" s="6">
        <f t="shared" si="25"/>
        <v>0.03</v>
      </c>
      <c r="AT220" s="6">
        <f t="shared" si="25"/>
        <v>0.03</v>
      </c>
      <c r="AU220" s="6">
        <f t="shared" si="25"/>
        <v>0.03</v>
      </c>
      <c r="AV220" s="6">
        <f t="shared" si="25"/>
        <v>0.03</v>
      </c>
      <c r="AW220" s="6">
        <f t="shared" si="25"/>
        <v>0.03</v>
      </c>
      <c r="AX220" s="6">
        <f t="shared" si="25"/>
        <v>0.03</v>
      </c>
      <c r="AY220" s="6">
        <f t="shared" si="25"/>
        <v>0.03</v>
      </c>
      <c r="AZ220" s="6">
        <f t="shared" si="25"/>
        <v>0.03</v>
      </c>
      <c r="BA220" s="6">
        <f t="shared" si="25"/>
        <v>0.03</v>
      </c>
      <c r="BB220" s="6">
        <f t="shared" si="25"/>
        <v>0.03</v>
      </c>
      <c r="BC220" s="6">
        <f t="shared" si="25"/>
        <v>0.03</v>
      </c>
      <c r="BD220" s="6">
        <f t="shared" si="25"/>
        <v>0.03</v>
      </c>
      <c r="BE220" s="6">
        <f t="shared" si="25"/>
        <v>0.03</v>
      </c>
      <c r="BF220" s="6">
        <f t="shared" si="25"/>
        <v>0.03</v>
      </c>
      <c r="BG220" s="6">
        <f t="shared" si="25"/>
        <v>0.03</v>
      </c>
      <c r="BH220" s="6">
        <f t="shared" si="25"/>
        <v>0.03</v>
      </c>
      <c r="BI220" s="6">
        <f t="shared" si="25"/>
        <v>0.03</v>
      </c>
      <c r="BJ220" s="6">
        <f t="shared" si="25"/>
        <v>0.03</v>
      </c>
    </row>
    <row r="221" spans="4:62" x14ac:dyDescent="0.15">
      <c r="D221" s="9" t="str">
        <f>"Темп роста " &amp; D209</f>
        <v>Темп роста Ежегодный расход на цели 4</v>
      </c>
      <c r="E221" s="12" t="s">
        <v>4</v>
      </c>
      <c r="J221" s="6">
        <v>0</v>
      </c>
      <c r="K221" s="6">
        <f t="shared" si="25"/>
        <v>0.03</v>
      </c>
      <c r="L221" s="6">
        <f t="shared" si="25"/>
        <v>0.03</v>
      </c>
      <c r="M221" s="6">
        <f t="shared" si="25"/>
        <v>0.03</v>
      </c>
      <c r="N221" s="6">
        <f t="shared" si="25"/>
        <v>0.03</v>
      </c>
      <c r="O221" s="6">
        <f t="shared" si="25"/>
        <v>0.03</v>
      </c>
      <c r="P221" s="6">
        <f t="shared" si="25"/>
        <v>0.03</v>
      </c>
      <c r="Q221" s="6">
        <f t="shared" si="25"/>
        <v>0.03</v>
      </c>
      <c r="R221" s="6">
        <f t="shared" si="25"/>
        <v>0.03</v>
      </c>
      <c r="S221" s="6">
        <f t="shared" si="25"/>
        <v>0.03</v>
      </c>
      <c r="T221" s="6">
        <f t="shared" si="25"/>
        <v>0.03</v>
      </c>
      <c r="U221" s="6">
        <f t="shared" si="25"/>
        <v>0.03</v>
      </c>
      <c r="V221" s="6">
        <f t="shared" si="25"/>
        <v>0.03</v>
      </c>
      <c r="W221" s="6">
        <f t="shared" si="25"/>
        <v>0.03</v>
      </c>
      <c r="X221" s="6">
        <f t="shared" si="25"/>
        <v>0.03</v>
      </c>
      <c r="Y221" s="6">
        <f t="shared" si="25"/>
        <v>0.03</v>
      </c>
      <c r="Z221" s="6">
        <f t="shared" si="25"/>
        <v>0.03</v>
      </c>
      <c r="AA221" s="6">
        <f t="shared" si="25"/>
        <v>0.03</v>
      </c>
      <c r="AB221" s="6">
        <f t="shared" si="25"/>
        <v>0.03</v>
      </c>
      <c r="AC221" s="6">
        <f t="shared" si="25"/>
        <v>0.03</v>
      </c>
      <c r="AD221" s="6">
        <f t="shared" si="25"/>
        <v>0.03</v>
      </c>
      <c r="AE221" s="6">
        <f t="shared" si="25"/>
        <v>0.03</v>
      </c>
      <c r="AF221" s="6">
        <f t="shared" si="25"/>
        <v>0.03</v>
      </c>
      <c r="AG221" s="6">
        <f t="shared" si="25"/>
        <v>0.03</v>
      </c>
      <c r="AH221" s="6">
        <f t="shared" si="25"/>
        <v>0.03</v>
      </c>
      <c r="AI221" s="6">
        <f t="shared" si="25"/>
        <v>0.03</v>
      </c>
      <c r="AJ221" s="6">
        <f t="shared" si="25"/>
        <v>0.03</v>
      </c>
      <c r="AK221" s="6">
        <f t="shared" si="25"/>
        <v>0.03</v>
      </c>
      <c r="AL221" s="6">
        <f t="shared" si="25"/>
        <v>0.03</v>
      </c>
      <c r="AM221" s="6">
        <f t="shared" si="25"/>
        <v>0.03</v>
      </c>
      <c r="AN221" s="6">
        <f t="shared" si="25"/>
        <v>0.03</v>
      </c>
      <c r="AO221" s="6">
        <f t="shared" si="25"/>
        <v>0.03</v>
      </c>
      <c r="AP221" s="6">
        <f t="shared" si="25"/>
        <v>0.03</v>
      </c>
      <c r="AQ221" s="6">
        <f t="shared" si="25"/>
        <v>0.03</v>
      </c>
      <c r="AR221" s="6">
        <f t="shared" si="25"/>
        <v>0.03</v>
      </c>
      <c r="AS221" s="6">
        <f t="shared" si="25"/>
        <v>0.03</v>
      </c>
      <c r="AT221" s="6">
        <f t="shared" si="25"/>
        <v>0.03</v>
      </c>
      <c r="AU221" s="6">
        <f t="shared" si="25"/>
        <v>0.03</v>
      </c>
      <c r="AV221" s="6">
        <f t="shared" si="25"/>
        <v>0.03</v>
      </c>
      <c r="AW221" s="6">
        <f t="shared" si="25"/>
        <v>0.03</v>
      </c>
      <c r="AX221" s="6">
        <f t="shared" si="25"/>
        <v>0.03</v>
      </c>
      <c r="AY221" s="6">
        <f t="shared" si="25"/>
        <v>0.03</v>
      </c>
      <c r="AZ221" s="6">
        <f t="shared" si="25"/>
        <v>0.03</v>
      </c>
      <c r="BA221" s="6">
        <f t="shared" si="25"/>
        <v>0.03</v>
      </c>
      <c r="BB221" s="6">
        <f t="shared" si="25"/>
        <v>0.03</v>
      </c>
      <c r="BC221" s="6">
        <f t="shared" si="25"/>
        <v>0.03</v>
      </c>
      <c r="BD221" s="6">
        <f t="shared" si="25"/>
        <v>0.03</v>
      </c>
      <c r="BE221" s="6">
        <f t="shared" si="25"/>
        <v>0.03</v>
      </c>
      <c r="BF221" s="6">
        <f t="shared" si="25"/>
        <v>0.03</v>
      </c>
      <c r="BG221" s="6">
        <f t="shared" si="25"/>
        <v>0.03</v>
      </c>
      <c r="BH221" s="6">
        <f t="shared" si="25"/>
        <v>0.03</v>
      </c>
      <c r="BI221" s="6">
        <f t="shared" si="25"/>
        <v>0.03</v>
      </c>
      <c r="BJ221" s="6">
        <f t="shared" si="25"/>
        <v>0.03</v>
      </c>
    </row>
    <row r="222" spans="4:62" x14ac:dyDescent="0.15">
      <c r="D222" s="9" t="str">
        <f t="shared" ref="D222:D227" si="26">"Темп роста " &amp; D210</f>
        <v>Темп роста Ежегодный расход на цели 5</v>
      </c>
      <c r="E222" s="12" t="s">
        <v>4</v>
      </c>
      <c r="J222" s="6">
        <v>0</v>
      </c>
      <c r="K222" s="6">
        <f t="shared" si="25"/>
        <v>0.03</v>
      </c>
      <c r="L222" s="6">
        <f t="shared" si="25"/>
        <v>0.03</v>
      </c>
      <c r="M222" s="6">
        <f t="shared" si="25"/>
        <v>0.03</v>
      </c>
      <c r="N222" s="6">
        <f t="shared" si="25"/>
        <v>0.03</v>
      </c>
      <c r="O222" s="6">
        <f t="shared" si="25"/>
        <v>0.03</v>
      </c>
      <c r="P222" s="6">
        <f t="shared" si="25"/>
        <v>0.03</v>
      </c>
      <c r="Q222" s="6">
        <f t="shared" si="25"/>
        <v>0.03</v>
      </c>
      <c r="R222" s="6">
        <f t="shared" si="25"/>
        <v>0.03</v>
      </c>
      <c r="S222" s="6">
        <f t="shared" si="25"/>
        <v>0.03</v>
      </c>
      <c r="T222" s="6">
        <f t="shared" si="25"/>
        <v>0.03</v>
      </c>
      <c r="U222" s="6">
        <f t="shared" si="25"/>
        <v>0.03</v>
      </c>
      <c r="V222" s="6">
        <f t="shared" si="25"/>
        <v>0.03</v>
      </c>
      <c r="W222" s="6">
        <f t="shared" si="25"/>
        <v>0.03</v>
      </c>
      <c r="X222" s="6">
        <f t="shared" si="25"/>
        <v>0.03</v>
      </c>
      <c r="Y222" s="6">
        <f t="shared" si="25"/>
        <v>0.03</v>
      </c>
      <c r="Z222" s="6">
        <f t="shared" si="25"/>
        <v>0.03</v>
      </c>
      <c r="AA222" s="6">
        <f t="shared" si="25"/>
        <v>0.03</v>
      </c>
      <c r="AB222" s="6">
        <f t="shared" si="25"/>
        <v>0.03</v>
      </c>
      <c r="AC222" s="6">
        <f t="shared" si="25"/>
        <v>0.03</v>
      </c>
      <c r="AD222" s="6">
        <f t="shared" si="25"/>
        <v>0.03</v>
      </c>
      <c r="AE222" s="6">
        <f t="shared" si="25"/>
        <v>0.03</v>
      </c>
      <c r="AF222" s="6">
        <f t="shared" si="25"/>
        <v>0.03</v>
      </c>
      <c r="AG222" s="6">
        <f t="shared" si="25"/>
        <v>0.03</v>
      </c>
      <c r="AH222" s="6">
        <f t="shared" si="25"/>
        <v>0.03</v>
      </c>
      <c r="AI222" s="6">
        <f t="shared" si="25"/>
        <v>0.03</v>
      </c>
      <c r="AJ222" s="6">
        <f t="shared" si="25"/>
        <v>0.03</v>
      </c>
      <c r="AK222" s="6">
        <f t="shared" si="25"/>
        <v>0.03</v>
      </c>
      <c r="AL222" s="6">
        <f t="shared" si="25"/>
        <v>0.03</v>
      </c>
      <c r="AM222" s="6">
        <f t="shared" si="25"/>
        <v>0.03</v>
      </c>
      <c r="AN222" s="6">
        <f t="shared" si="25"/>
        <v>0.03</v>
      </c>
      <c r="AO222" s="6">
        <f t="shared" si="25"/>
        <v>0.03</v>
      </c>
      <c r="AP222" s="6">
        <f t="shared" si="25"/>
        <v>0.03</v>
      </c>
      <c r="AQ222" s="6">
        <f t="shared" si="25"/>
        <v>0.03</v>
      </c>
      <c r="AR222" s="6">
        <f t="shared" si="25"/>
        <v>0.03</v>
      </c>
      <c r="AS222" s="6">
        <f t="shared" si="25"/>
        <v>0.03</v>
      </c>
      <c r="AT222" s="6">
        <f t="shared" si="25"/>
        <v>0.03</v>
      </c>
      <c r="AU222" s="6">
        <f t="shared" si="25"/>
        <v>0.03</v>
      </c>
      <c r="AV222" s="6">
        <f t="shared" si="25"/>
        <v>0.03</v>
      </c>
      <c r="AW222" s="6">
        <f t="shared" si="25"/>
        <v>0.03</v>
      </c>
      <c r="AX222" s="6">
        <f t="shared" si="25"/>
        <v>0.03</v>
      </c>
      <c r="AY222" s="6">
        <f t="shared" si="25"/>
        <v>0.03</v>
      </c>
      <c r="AZ222" s="6">
        <f t="shared" si="25"/>
        <v>0.03</v>
      </c>
      <c r="BA222" s="6">
        <f t="shared" ref="BA222:BJ222" si="27">BA$14</f>
        <v>0.03</v>
      </c>
      <c r="BB222" s="6">
        <f t="shared" si="27"/>
        <v>0.03</v>
      </c>
      <c r="BC222" s="6">
        <f t="shared" si="27"/>
        <v>0.03</v>
      </c>
      <c r="BD222" s="6">
        <f t="shared" si="27"/>
        <v>0.03</v>
      </c>
      <c r="BE222" s="6">
        <f t="shared" si="27"/>
        <v>0.03</v>
      </c>
      <c r="BF222" s="6">
        <f t="shared" si="27"/>
        <v>0.03</v>
      </c>
      <c r="BG222" s="6">
        <f t="shared" si="27"/>
        <v>0.03</v>
      </c>
      <c r="BH222" s="6">
        <f t="shared" si="27"/>
        <v>0.03</v>
      </c>
      <c r="BI222" s="6">
        <f t="shared" si="27"/>
        <v>0.03</v>
      </c>
      <c r="BJ222" s="6">
        <f t="shared" si="27"/>
        <v>0.03</v>
      </c>
    </row>
    <row r="223" spans="4:62" x14ac:dyDescent="0.15">
      <c r="D223" s="9" t="str">
        <f t="shared" si="26"/>
        <v>Темп роста Ежегодный расход на цели 6</v>
      </c>
      <c r="E223" s="12" t="s">
        <v>4</v>
      </c>
      <c r="J223" s="6">
        <v>0</v>
      </c>
      <c r="K223" s="6">
        <f t="shared" ref="K223:BJ227" si="28">K$14</f>
        <v>0.03</v>
      </c>
      <c r="L223" s="6">
        <f t="shared" si="28"/>
        <v>0.03</v>
      </c>
      <c r="M223" s="6">
        <f t="shared" si="28"/>
        <v>0.03</v>
      </c>
      <c r="N223" s="6">
        <f t="shared" si="28"/>
        <v>0.03</v>
      </c>
      <c r="O223" s="6">
        <f t="shared" si="28"/>
        <v>0.03</v>
      </c>
      <c r="P223" s="6">
        <f t="shared" si="28"/>
        <v>0.03</v>
      </c>
      <c r="Q223" s="6">
        <f t="shared" si="28"/>
        <v>0.03</v>
      </c>
      <c r="R223" s="6">
        <f t="shared" si="28"/>
        <v>0.03</v>
      </c>
      <c r="S223" s="6">
        <f t="shared" si="28"/>
        <v>0.03</v>
      </c>
      <c r="T223" s="6">
        <f t="shared" si="28"/>
        <v>0.03</v>
      </c>
      <c r="U223" s="6">
        <f t="shared" si="28"/>
        <v>0.03</v>
      </c>
      <c r="V223" s="6">
        <f t="shared" si="28"/>
        <v>0.03</v>
      </c>
      <c r="W223" s="6">
        <f t="shared" si="28"/>
        <v>0.03</v>
      </c>
      <c r="X223" s="6">
        <f t="shared" si="28"/>
        <v>0.03</v>
      </c>
      <c r="Y223" s="6">
        <f t="shared" si="28"/>
        <v>0.03</v>
      </c>
      <c r="Z223" s="6">
        <f t="shared" si="28"/>
        <v>0.03</v>
      </c>
      <c r="AA223" s="6">
        <f t="shared" si="28"/>
        <v>0.03</v>
      </c>
      <c r="AB223" s="6">
        <f t="shared" si="28"/>
        <v>0.03</v>
      </c>
      <c r="AC223" s="6">
        <f t="shared" si="28"/>
        <v>0.03</v>
      </c>
      <c r="AD223" s="6">
        <f t="shared" si="28"/>
        <v>0.03</v>
      </c>
      <c r="AE223" s="6">
        <f t="shared" si="28"/>
        <v>0.03</v>
      </c>
      <c r="AF223" s="6">
        <f t="shared" si="28"/>
        <v>0.03</v>
      </c>
      <c r="AG223" s="6">
        <f t="shared" si="28"/>
        <v>0.03</v>
      </c>
      <c r="AH223" s="6">
        <f t="shared" si="28"/>
        <v>0.03</v>
      </c>
      <c r="AI223" s="6">
        <f t="shared" si="28"/>
        <v>0.03</v>
      </c>
      <c r="AJ223" s="6">
        <f t="shared" si="28"/>
        <v>0.03</v>
      </c>
      <c r="AK223" s="6">
        <f t="shared" si="28"/>
        <v>0.03</v>
      </c>
      <c r="AL223" s="6">
        <f t="shared" si="28"/>
        <v>0.03</v>
      </c>
      <c r="AM223" s="6">
        <f t="shared" si="28"/>
        <v>0.03</v>
      </c>
      <c r="AN223" s="6">
        <f t="shared" si="28"/>
        <v>0.03</v>
      </c>
      <c r="AO223" s="6">
        <f t="shared" si="28"/>
        <v>0.03</v>
      </c>
      <c r="AP223" s="6">
        <f t="shared" si="28"/>
        <v>0.03</v>
      </c>
      <c r="AQ223" s="6">
        <f t="shared" si="28"/>
        <v>0.03</v>
      </c>
      <c r="AR223" s="6">
        <f t="shared" si="28"/>
        <v>0.03</v>
      </c>
      <c r="AS223" s="6">
        <f t="shared" si="28"/>
        <v>0.03</v>
      </c>
      <c r="AT223" s="6">
        <f t="shared" si="28"/>
        <v>0.03</v>
      </c>
      <c r="AU223" s="6">
        <f t="shared" si="28"/>
        <v>0.03</v>
      </c>
      <c r="AV223" s="6">
        <f t="shared" si="28"/>
        <v>0.03</v>
      </c>
      <c r="AW223" s="6">
        <f t="shared" si="28"/>
        <v>0.03</v>
      </c>
      <c r="AX223" s="6">
        <f t="shared" si="28"/>
        <v>0.03</v>
      </c>
      <c r="AY223" s="6">
        <f t="shared" si="28"/>
        <v>0.03</v>
      </c>
      <c r="AZ223" s="6">
        <f t="shared" si="28"/>
        <v>0.03</v>
      </c>
      <c r="BA223" s="6">
        <f t="shared" si="28"/>
        <v>0.03</v>
      </c>
      <c r="BB223" s="6">
        <f t="shared" si="28"/>
        <v>0.03</v>
      </c>
      <c r="BC223" s="6">
        <f t="shared" si="28"/>
        <v>0.03</v>
      </c>
      <c r="BD223" s="6">
        <f t="shared" si="28"/>
        <v>0.03</v>
      </c>
      <c r="BE223" s="6">
        <f t="shared" si="28"/>
        <v>0.03</v>
      </c>
      <c r="BF223" s="6">
        <f t="shared" si="28"/>
        <v>0.03</v>
      </c>
      <c r="BG223" s="6">
        <f t="shared" si="28"/>
        <v>0.03</v>
      </c>
      <c r="BH223" s="6">
        <f t="shared" si="28"/>
        <v>0.03</v>
      </c>
      <c r="BI223" s="6">
        <f t="shared" si="28"/>
        <v>0.03</v>
      </c>
      <c r="BJ223" s="6">
        <f t="shared" si="28"/>
        <v>0.03</v>
      </c>
    </row>
    <row r="224" spans="4:62" x14ac:dyDescent="0.15">
      <c r="D224" s="9" t="str">
        <f t="shared" si="26"/>
        <v>Темп роста Ежегодный расход на цели 7</v>
      </c>
      <c r="E224" s="12" t="s">
        <v>4</v>
      </c>
      <c r="J224" s="6">
        <v>0</v>
      </c>
      <c r="K224" s="6">
        <f t="shared" si="28"/>
        <v>0.03</v>
      </c>
      <c r="L224" s="6">
        <f t="shared" si="28"/>
        <v>0.03</v>
      </c>
      <c r="M224" s="6">
        <f t="shared" si="28"/>
        <v>0.03</v>
      </c>
      <c r="N224" s="6">
        <f t="shared" si="28"/>
        <v>0.03</v>
      </c>
      <c r="O224" s="6">
        <f t="shared" si="28"/>
        <v>0.03</v>
      </c>
      <c r="P224" s="6">
        <f t="shared" si="28"/>
        <v>0.03</v>
      </c>
      <c r="Q224" s="6">
        <f t="shared" si="28"/>
        <v>0.03</v>
      </c>
      <c r="R224" s="6">
        <f t="shared" si="28"/>
        <v>0.03</v>
      </c>
      <c r="S224" s="6">
        <f t="shared" si="28"/>
        <v>0.03</v>
      </c>
      <c r="T224" s="6">
        <f t="shared" si="28"/>
        <v>0.03</v>
      </c>
      <c r="U224" s="6">
        <f t="shared" si="28"/>
        <v>0.03</v>
      </c>
      <c r="V224" s="6">
        <f t="shared" si="28"/>
        <v>0.03</v>
      </c>
      <c r="W224" s="6">
        <f t="shared" si="28"/>
        <v>0.03</v>
      </c>
      <c r="X224" s="6">
        <f t="shared" si="28"/>
        <v>0.03</v>
      </c>
      <c r="Y224" s="6">
        <f t="shared" si="28"/>
        <v>0.03</v>
      </c>
      <c r="Z224" s="6">
        <f t="shared" si="28"/>
        <v>0.03</v>
      </c>
      <c r="AA224" s="6">
        <f t="shared" si="28"/>
        <v>0.03</v>
      </c>
      <c r="AB224" s="6">
        <f t="shared" si="28"/>
        <v>0.03</v>
      </c>
      <c r="AC224" s="6">
        <f t="shared" si="28"/>
        <v>0.03</v>
      </c>
      <c r="AD224" s="6">
        <f t="shared" si="28"/>
        <v>0.03</v>
      </c>
      <c r="AE224" s="6">
        <f t="shared" si="28"/>
        <v>0.03</v>
      </c>
      <c r="AF224" s="6">
        <f t="shared" si="28"/>
        <v>0.03</v>
      </c>
      <c r="AG224" s="6">
        <f t="shared" si="28"/>
        <v>0.03</v>
      </c>
      <c r="AH224" s="6">
        <f t="shared" si="28"/>
        <v>0.03</v>
      </c>
      <c r="AI224" s="6">
        <f t="shared" si="28"/>
        <v>0.03</v>
      </c>
      <c r="AJ224" s="6">
        <f t="shared" si="28"/>
        <v>0.03</v>
      </c>
      <c r="AK224" s="6">
        <f t="shared" si="28"/>
        <v>0.03</v>
      </c>
      <c r="AL224" s="6">
        <f t="shared" si="28"/>
        <v>0.03</v>
      </c>
      <c r="AM224" s="6">
        <f t="shared" si="28"/>
        <v>0.03</v>
      </c>
      <c r="AN224" s="6">
        <f t="shared" si="28"/>
        <v>0.03</v>
      </c>
      <c r="AO224" s="6">
        <f t="shared" si="28"/>
        <v>0.03</v>
      </c>
      <c r="AP224" s="6">
        <f t="shared" si="28"/>
        <v>0.03</v>
      </c>
      <c r="AQ224" s="6">
        <f t="shared" si="28"/>
        <v>0.03</v>
      </c>
      <c r="AR224" s="6">
        <f t="shared" si="28"/>
        <v>0.03</v>
      </c>
      <c r="AS224" s="6">
        <f t="shared" si="28"/>
        <v>0.03</v>
      </c>
      <c r="AT224" s="6">
        <f t="shared" si="28"/>
        <v>0.03</v>
      </c>
      <c r="AU224" s="6">
        <f t="shared" si="28"/>
        <v>0.03</v>
      </c>
      <c r="AV224" s="6">
        <f t="shared" si="28"/>
        <v>0.03</v>
      </c>
      <c r="AW224" s="6">
        <f t="shared" si="28"/>
        <v>0.03</v>
      </c>
      <c r="AX224" s="6">
        <f t="shared" si="28"/>
        <v>0.03</v>
      </c>
      <c r="AY224" s="6">
        <f t="shared" si="28"/>
        <v>0.03</v>
      </c>
      <c r="AZ224" s="6">
        <f t="shared" si="28"/>
        <v>0.03</v>
      </c>
      <c r="BA224" s="6">
        <f t="shared" si="28"/>
        <v>0.03</v>
      </c>
      <c r="BB224" s="6">
        <f t="shared" si="28"/>
        <v>0.03</v>
      </c>
      <c r="BC224" s="6">
        <f t="shared" si="28"/>
        <v>0.03</v>
      </c>
      <c r="BD224" s="6">
        <f t="shared" si="28"/>
        <v>0.03</v>
      </c>
      <c r="BE224" s="6">
        <f t="shared" si="28"/>
        <v>0.03</v>
      </c>
      <c r="BF224" s="6">
        <f t="shared" si="28"/>
        <v>0.03</v>
      </c>
      <c r="BG224" s="6">
        <f t="shared" si="28"/>
        <v>0.03</v>
      </c>
      <c r="BH224" s="6">
        <f t="shared" si="28"/>
        <v>0.03</v>
      </c>
      <c r="BI224" s="6">
        <f t="shared" si="28"/>
        <v>0.03</v>
      </c>
      <c r="BJ224" s="6">
        <f t="shared" si="28"/>
        <v>0.03</v>
      </c>
    </row>
    <row r="225" spans="3:62" x14ac:dyDescent="0.15">
      <c r="D225" s="9" t="str">
        <f t="shared" si="26"/>
        <v>Темп роста Ежегодный расход на цели 8</v>
      </c>
      <c r="E225" s="12" t="s">
        <v>4</v>
      </c>
      <c r="J225" s="6">
        <v>0</v>
      </c>
      <c r="K225" s="6">
        <f t="shared" si="28"/>
        <v>0.03</v>
      </c>
      <c r="L225" s="6">
        <f t="shared" si="28"/>
        <v>0.03</v>
      </c>
      <c r="M225" s="6">
        <f t="shared" si="28"/>
        <v>0.03</v>
      </c>
      <c r="N225" s="6">
        <f t="shared" si="28"/>
        <v>0.03</v>
      </c>
      <c r="O225" s="6">
        <f t="shared" si="28"/>
        <v>0.03</v>
      </c>
      <c r="P225" s="6">
        <f t="shared" si="28"/>
        <v>0.03</v>
      </c>
      <c r="Q225" s="6">
        <f t="shared" si="28"/>
        <v>0.03</v>
      </c>
      <c r="R225" s="6">
        <f t="shared" si="28"/>
        <v>0.03</v>
      </c>
      <c r="S225" s="6">
        <f t="shared" si="28"/>
        <v>0.03</v>
      </c>
      <c r="T225" s="6">
        <f t="shared" si="28"/>
        <v>0.03</v>
      </c>
      <c r="U225" s="6">
        <f t="shared" si="28"/>
        <v>0.03</v>
      </c>
      <c r="V225" s="6">
        <f t="shared" si="28"/>
        <v>0.03</v>
      </c>
      <c r="W225" s="6">
        <f t="shared" si="28"/>
        <v>0.03</v>
      </c>
      <c r="X225" s="6">
        <f t="shared" si="28"/>
        <v>0.03</v>
      </c>
      <c r="Y225" s="6">
        <f t="shared" si="28"/>
        <v>0.03</v>
      </c>
      <c r="Z225" s="6">
        <f t="shared" si="28"/>
        <v>0.03</v>
      </c>
      <c r="AA225" s="6">
        <f t="shared" si="28"/>
        <v>0.03</v>
      </c>
      <c r="AB225" s="6">
        <f t="shared" si="28"/>
        <v>0.03</v>
      </c>
      <c r="AC225" s="6">
        <f t="shared" si="28"/>
        <v>0.03</v>
      </c>
      <c r="AD225" s="6">
        <f t="shared" si="28"/>
        <v>0.03</v>
      </c>
      <c r="AE225" s="6">
        <f t="shared" si="28"/>
        <v>0.03</v>
      </c>
      <c r="AF225" s="6">
        <f t="shared" si="28"/>
        <v>0.03</v>
      </c>
      <c r="AG225" s="6">
        <f t="shared" si="28"/>
        <v>0.03</v>
      </c>
      <c r="AH225" s="6">
        <f t="shared" si="28"/>
        <v>0.03</v>
      </c>
      <c r="AI225" s="6">
        <f t="shared" si="28"/>
        <v>0.03</v>
      </c>
      <c r="AJ225" s="6">
        <f t="shared" si="28"/>
        <v>0.03</v>
      </c>
      <c r="AK225" s="6">
        <f t="shared" si="28"/>
        <v>0.03</v>
      </c>
      <c r="AL225" s="6">
        <f t="shared" si="28"/>
        <v>0.03</v>
      </c>
      <c r="AM225" s="6">
        <f t="shared" si="28"/>
        <v>0.03</v>
      </c>
      <c r="AN225" s="6">
        <f t="shared" si="28"/>
        <v>0.03</v>
      </c>
      <c r="AO225" s="6">
        <f t="shared" si="28"/>
        <v>0.03</v>
      </c>
      <c r="AP225" s="6">
        <f t="shared" si="28"/>
        <v>0.03</v>
      </c>
      <c r="AQ225" s="6">
        <f t="shared" si="28"/>
        <v>0.03</v>
      </c>
      <c r="AR225" s="6">
        <f t="shared" si="28"/>
        <v>0.03</v>
      </c>
      <c r="AS225" s="6">
        <f t="shared" si="28"/>
        <v>0.03</v>
      </c>
      <c r="AT225" s="6">
        <f t="shared" si="28"/>
        <v>0.03</v>
      </c>
      <c r="AU225" s="6">
        <f t="shared" si="28"/>
        <v>0.03</v>
      </c>
      <c r="AV225" s="6">
        <f t="shared" si="28"/>
        <v>0.03</v>
      </c>
      <c r="AW225" s="6">
        <f t="shared" si="28"/>
        <v>0.03</v>
      </c>
      <c r="AX225" s="6">
        <f t="shared" si="28"/>
        <v>0.03</v>
      </c>
      <c r="AY225" s="6">
        <f t="shared" si="28"/>
        <v>0.03</v>
      </c>
      <c r="AZ225" s="6">
        <f t="shared" si="28"/>
        <v>0.03</v>
      </c>
      <c r="BA225" s="6">
        <f t="shared" si="28"/>
        <v>0.03</v>
      </c>
      <c r="BB225" s="6">
        <f t="shared" si="28"/>
        <v>0.03</v>
      </c>
      <c r="BC225" s="6">
        <f t="shared" si="28"/>
        <v>0.03</v>
      </c>
      <c r="BD225" s="6">
        <f t="shared" si="28"/>
        <v>0.03</v>
      </c>
      <c r="BE225" s="6">
        <f t="shared" si="28"/>
        <v>0.03</v>
      </c>
      <c r="BF225" s="6">
        <f t="shared" si="28"/>
        <v>0.03</v>
      </c>
      <c r="BG225" s="6">
        <f t="shared" si="28"/>
        <v>0.03</v>
      </c>
      <c r="BH225" s="6">
        <f t="shared" si="28"/>
        <v>0.03</v>
      </c>
      <c r="BI225" s="6">
        <f t="shared" si="28"/>
        <v>0.03</v>
      </c>
      <c r="BJ225" s="6">
        <f t="shared" si="28"/>
        <v>0.03</v>
      </c>
    </row>
    <row r="226" spans="3:62" x14ac:dyDescent="0.15">
      <c r="D226" s="9" t="str">
        <f t="shared" si="26"/>
        <v>Темп роста Ежегодный расход на цели 9</v>
      </c>
      <c r="E226" s="12" t="s">
        <v>4</v>
      </c>
      <c r="J226" s="6">
        <v>0</v>
      </c>
      <c r="K226" s="6">
        <f t="shared" si="28"/>
        <v>0.03</v>
      </c>
      <c r="L226" s="6">
        <f t="shared" si="28"/>
        <v>0.03</v>
      </c>
      <c r="M226" s="6">
        <f t="shared" si="28"/>
        <v>0.03</v>
      </c>
      <c r="N226" s="6">
        <f t="shared" si="28"/>
        <v>0.03</v>
      </c>
      <c r="O226" s="6">
        <f t="shared" si="28"/>
        <v>0.03</v>
      </c>
      <c r="P226" s="6">
        <f t="shared" si="28"/>
        <v>0.03</v>
      </c>
      <c r="Q226" s="6">
        <f t="shared" si="28"/>
        <v>0.03</v>
      </c>
      <c r="R226" s="6">
        <f t="shared" si="28"/>
        <v>0.03</v>
      </c>
      <c r="S226" s="6">
        <f t="shared" si="28"/>
        <v>0.03</v>
      </c>
      <c r="T226" s="6">
        <f t="shared" si="28"/>
        <v>0.03</v>
      </c>
      <c r="U226" s="6">
        <f t="shared" si="28"/>
        <v>0.03</v>
      </c>
      <c r="V226" s="6">
        <f t="shared" si="28"/>
        <v>0.03</v>
      </c>
      <c r="W226" s="6">
        <f t="shared" si="28"/>
        <v>0.03</v>
      </c>
      <c r="X226" s="6">
        <f t="shared" si="28"/>
        <v>0.03</v>
      </c>
      <c r="Y226" s="6">
        <f t="shared" si="28"/>
        <v>0.03</v>
      </c>
      <c r="Z226" s="6">
        <f t="shared" si="28"/>
        <v>0.03</v>
      </c>
      <c r="AA226" s="6">
        <f t="shared" si="28"/>
        <v>0.03</v>
      </c>
      <c r="AB226" s="6">
        <f t="shared" si="28"/>
        <v>0.03</v>
      </c>
      <c r="AC226" s="6">
        <f t="shared" si="28"/>
        <v>0.03</v>
      </c>
      <c r="AD226" s="6">
        <f t="shared" si="28"/>
        <v>0.03</v>
      </c>
      <c r="AE226" s="6">
        <f t="shared" si="28"/>
        <v>0.03</v>
      </c>
      <c r="AF226" s="6">
        <f t="shared" si="28"/>
        <v>0.03</v>
      </c>
      <c r="AG226" s="6">
        <f t="shared" si="28"/>
        <v>0.03</v>
      </c>
      <c r="AH226" s="6">
        <f t="shared" si="28"/>
        <v>0.03</v>
      </c>
      <c r="AI226" s="6">
        <f t="shared" si="28"/>
        <v>0.03</v>
      </c>
      <c r="AJ226" s="6">
        <f t="shared" si="28"/>
        <v>0.03</v>
      </c>
      <c r="AK226" s="6">
        <f t="shared" si="28"/>
        <v>0.03</v>
      </c>
      <c r="AL226" s="6">
        <f t="shared" si="28"/>
        <v>0.03</v>
      </c>
      <c r="AM226" s="6">
        <f t="shared" si="28"/>
        <v>0.03</v>
      </c>
      <c r="AN226" s="6">
        <f t="shared" si="28"/>
        <v>0.03</v>
      </c>
      <c r="AO226" s="6">
        <f t="shared" si="28"/>
        <v>0.03</v>
      </c>
      <c r="AP226" s="6">
        <f t="shared" si="28"/>
        <v>0.03</v>
      </c>
      <c r="AQ226" s="6">
        <f t="shared" si="28"/>
        <v>0.03</v>
      </c>
      <c r="AR226" s="6">
        <f t="shared" si="28"/>
        <v>0.03</v>
      </c>
      <c r="AS226" s="6">
        <f t="shared" si="28"/>
        <v>0.03</v>
      </c>
      <c r="AT226" s="6">
        <f t="shared" si="28"/>
        <v>0.03</v>
      </c>
      <c r="AU226" s="6">
        <f t="shared" si="28"/>
        <v>0.03</v>
      </c>
      <c r="AV226" s="6">
        <f t="shared" si="28"/>
        <v>0.03</v>
      </c>
      <c r="AW226" s="6">
        <f t="shared" si="28"/>
        <v>0.03</v>
      </c>
      <c r="AX226" s="6">
        <f t="shared" si="28"/>
        <v>0.03</v>
      </c>
      <c r="AY226" s="6">
        <f t="shared" si="28"/>
        <v>0.03</v>
      </c>
      <c r="AZ226" s="6">
        <f t="shared" si="28"/>
        <v>0.03</v>
      </c>
      <c r="BA226" s="6">
        <f t="shared" si="28"/>
        <v>0.03</v>
      </c>
      <c r="BB226" s="6">
        <f t="shared" si="28"/>
        <v>0.03</v>
      </c>
      <c r="BC226" s="6">
        <f t="shared" si="28"/>
        <v>0.03</v>
      </c>
      <c r="BD226" s="6">
        <f t="shared" si="28"/>
        <v>0.03</v>
      </c>
      <c r="BE226" s="6">
        <f t="shared" si="28"/>
        <v>0.03</v>
      </c>
      <c r="BF226" s="6">
        <f t="shared" si="28"/>
        <v>0.03</v>
      </c>
      <c r="BG226" s="6">
        <f t="shared" si="28"/>
        <v>0.03</v>
      </c>
      <c r="BH226" s="6">
        <f t="shared" si="28"/>
        <v>0.03</v>
      </c>
      <c r="BI226" s="6">
        <f t="shared" si="28"/>
        <v>0.03</v>
      </c>
      <c r="BJ226" s="6">
        <f t="shared" si="28"/>
        <v>0.03</v>
      </c>
    </row>
    <row r="227" spans="3:62" x14ac:dyDescent="0.15">
      <c r="D227" s="9" t="str">
        <f t="shared" si="26"/>
        <v>Темп роста Ежегодный расход на цели 10</v>
      </c>
      <c r="E227" s="12" t="s">
        <v>4</v>
      </c>
      <c r="J227" s="6">
        <v>0</v>
      </c>
      <c r="K227" s="6">
        <f t="shared" si="28"/>
        <v>0.03</v>
      </c>
      <c r="L227" s="6">
        <f t="shared" si="28"/>
        <v>0.03</v>
      </c>
      <c r="M227" s="6">
        <f t="shared" si="28"/>
        <v>0.03</v>
      </c>
      <c r="N227" s="6">
        <f t="shared" si="28"/>
        <v>0.03</v>
      </c>
      <c r="O227" s="6">
        <f t="shared" si="28"/>
        <v>0.03</v>
      </c>
      <c r="P227" s="6">
        <f t="shared" si="28"/>
        <v>0.03</v>
      </c>
      <c r="Q227" s="6">
        <f t="shared" si="28"/>
        <v>0.03</v>
      </c>
      <c r="R227" s="6">
        <f t="shared" si="28"/>
        <v>0.03</v>
      </c>
      <c r="S227" s="6">
        <f t="shared" si="28"/>
        <v>0.03</v>
      </c>
      <c r="T227" s="6">
        <f t="shared" si="28"/>
        <v>0.03</v>
      </c>
      <c r="U227" s="6">
        <f t="shared" si="28"/>
        <v>0.03</v>
      </c>
      <c r="V227" s="6">
        <f t="shared" si="28"/>
        <v>0.03</v>
      </c>
      <c r="W227" s="6">
        <f t="shared" si="28"/>
        <v>0.03</v>
      </c>
      <c r="X227" s="6">
        <f t="shared" si="28"/>
        <v>0.03</v>
      </c>
      <c r="Y227" s="6">
        <f t="shared" si="28"/>
        <v>0.03</v>
      </c>
      <c r="Z227" s="6">
        <f t="shared" si="28"/>
        <v>0.03</v>
      </c>
      <c r="AA227" s="6">
        <f t="shared" si="28"/>
        <v>0.03</v>
      </c>
      <c r="AB227" s="6">
        <f t="shared" si="28"/>
        <v>0.03</v>
      </c>
      <c r="AC227" s="6">
        <f t="shared" si="28"/>
        <v>0.03</v>
      </c>
      <c r="AD227" s="6">
        <f t="shared" si="28"/>
        <v>0.03</v>
      </c>
      <c r="AE227" s="6">
        <f t="shared" si="28"/>
        <v>0.03</v>
      </c>
      <c r="AF227" s="6">
        <f t="shared" si="28"/>
        <v>0.03</v>
      </c>
      <c r="AG227" s="6">
        <f t="shared" si="28"/>
        <v>0.03</v>
      </c>
      <c r="AH227" s="6">
        <f t="shared" si="28"/>
        <v>0.03</v>
      </c>
      <c r="AI227" s="6">
        <f t="shared" si="28"/>
        <v>0.03</v>
      </c>
      <c r="AJ227" s="6">
        <f t="shared" si="28"/>
        <v>0.03</v>
      </c>
      <c r="AK227" s="6">
        <f t="shared" si="28"/>
        <v>0.03</v>
      </c>
      <c r="AL227" s="6">
        <f t="shared" si="28"/>
        <v>0.03</v>
      </c>
      <c r="AM227" s="6">
        <f t="shared" si="28"/>
        <v>0.03</v>
      </c>
      <c r="AN227" s="6">
        <f t="shared" si="28"/>
        <v>0.03</v>
      </c>
      <c r="AO227" s="6">
        <f t="shared" si="28"/>
        <v>0.03</v>
      </c>
      <c r="AP227" s="6">
        <f t="shared" si="28"/>
        <v>0.03</v>
      </c>
      <c r="AQ227" s="6">
        <f t="shared" si="28"/>
        <v>0.03</v>
      </c>
      <c r="AR227" s="6">
        <f t="shared" si="28"/>
        <v>0.03</v>
      </c>
      <c r="AS227" s="6">
        <f t="shared" si="28"/>
        <v>0.03</v>
      </c>
      <c r="AT227" s="6">
        <f t="shared" si="28"/>
        <v>0.03</v>
      </c>
      <c r="AU227" s="6">
        <f t="shared" si="28"/>
        <v>0.03</v>
      </c>
      <c r="AV227" s="6">
        <f t="shared" si="28"/>
        <v>0.03</v>
      </c>
      <c r="AW227" s="6">
        <f t="shared" si="28"/>
        <v>0.03</v>
      </c>
      <c r="AX227" s="6">
        <f t="shared" si="28"/>
        <v>0.03</v>
      </c>
      <c r="AY227" s="6">
        <f t="shared" si="28"/>
        <v>0.03</v>
      </c>
      <c r="AZ227" s="6">
        <f t="shared" si="28"/>
        <v>0.03</v>
      </c>
      <c r="BA227" s="6">
        <f t="shared" ref="BA227:BJ227" si="29">BA$14</f>
        <v>0.03</v>
      </c>
      <c r="BB227" s="6">
        <f t="shared" si="29"/>
        <v>0.03</v>
      </c>
      <c r="BC227" s="6">
        <f t="shared" si="29"/>
        <v>0.03</v>
      </c>
      <c r="BD227" s="6">
        <f t="shared" si="29"/>
        <v>0.03</v>
      </c>
      <c r="BE227" s="6">
        <f t="shared" si="29"/>
        <v>0.03</v>
      </c>
      <c r="BF227" s="6">
        <f t="shared" si="29"/>
        <v>0.03</v>
      </c>
      <c r="BG227" s="6">
        <f t="shared" si="29"/>
        <v>0.03</v>
      </c>
      <c r="BH227" s="6">
        <f t="shared" si="29"/>
        <v>0.03</v>
      </c>
      <c r="BI227" s="6">
        <f t="shared" si="29"/>
        <v>0.03</v>
      </c>
      <c r="BJ227" s="6">
        <f t="shared" si="29"/>
        <v>0.03</v>
      </c>
    </row>
    <row r="229" spans="3:62" x14ac:dyDescent="0.15">
      <c r="C229" s="2">
        <f>MAX( $B$7:C226 ) + 0.1</f>
        <v>4.2999999999999989</v>
      </c>
      <c r="D229" s="2" t="s">
        <v>41</v>
      </c>
      <c r="E229" s="14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</row>
    <row r="231" spans="3:62" x14ac:dyDescent="0.15">
      <c r="D231" s="8" t="s">
        <v>27</v>
      </c>
    </row>
    <row r="232" spans="3:62" x14ac:dyDescent="0.15">
      <c r="D232" s="11" t="str">
        <f>Вводные!$D$180</f>
        <v>Ежемесячный расход на цели 1</v>
      </c>
      <c r="E232" s="12" t="s">
        <v>23</v>
      </c>
      <c r="F232" s="17">
        <v>2020</v>
      </c>
      <c r="G232" s="18">
        <v>2060</v>
      </c>
    </row>
    <row r="233" spans="3:62" x14ac:dyDescent="0.15">
      <c r="D233" s="11" t="str">
        <f>Вводные!$D$181</f>
        <v>Ежемесячный расход на цели 2</v>
      </c>
      <c r="E233" s="12" t="s">
        <v>23</v>
      </c>
      <c r="F233" s="17">
        <v>2020</v>
      </c>
      <c r="G233" s="18">
        <v>2060</v>
      </c>
    </row>
    <row r="234" spans="3:62" x14ac:dyDescent="0.15">
      <c r="D234" s="11" t="str">
        <f>Вводные!$D$182</f>
        <v>Ежемесячный расход на цели 3</v>
      </c>
      <c r="E234" s="12" t="s">
        <v>23</v>
      </c>
      <c r="F234" s="17">
        <v>2020</v>
      </c>
      <c r="G234" s="18">
        <v>2060</v>
      </c>
    </row>
    <row r="235" spans="3:62" x14ac:dyDescent="0.15">
      <c r="D235" s="11" t="str">
        <f>Вводные!$D$183</f>
        <v>Ежемесячный расход на цели 4</v>
      </c>
      <c r="E235" s="12" t="s">
        <v>23</v>
      </c>
      <c r="F235" s="17">
        <v>2020</v>
      </c>
      <c r="G235" s="18">
        <v>2060</v>
      </c>
    </row>
    <row r="236" spans="3:62" x14ac:dyDescent="0.15">
      <c r="D236" s="11" t="str">
        <f>Вводные!$D$184</f>
        <v>Ежемесячный расход на цели 5</v>
      </c>
      <c r="E236" s="12" t="s">
        <v>23</v>
      </c>
      <c r="F236" s="17">
        <v>2020</v>
      </c>
      <c r="G236" s="18">
        <v>2060</v>
      </c>
    </row>
    <row r="237" spans="3:62" x14ac:dyDescent="0.15">
      <c r="D237" s="11" t="str">
        <f>Вводные!$D$185</f>
        <v>Ежемесячный расход на цели 6</v>
      </c>
      <c r="E237" s="12" t="s">
        <v>23</v>
      </c>
      <c r="F237" s="17">
        <v>2020</v>
      </c>
      <c r="G237" s="18">
        <v>2060</v>
      </c>
    </row>
    <row r="238" spans="3:62" x14ac:dyDescent="0.15">
      <c r="D238" s="11" t="str">
        <f>Вводные!$D$186</f>
        <v>Ежемесячный расход на цели 7</v>
      </c>
      <c r="E238" s="12" t="s">
        <v>23</v>
      </c>
      <c r="F238" s="17">
        <v>2020</v>
      </c>
      <c r="G238" s="18">
        <v>2060</v>
      </c>
    </row>
    <row r="239" spans="3:62" x14ac:dyDescent="0.15">
      <c r="D239" s="11" t="str">
        <f>Вводные!$D$187</f>
        <v>Ежемесячный расход на цели 8</v>
      </c>
      <c r="E239" s="12" t="s">
        <v>23</v>
      </c>
      <c r="F239" s="17">
        <v>2020</v>
      </c>
      <c r="G239" s="18">
        <v>2060</v>
      </c>
    </row>
    <row r="240" spans="3:62" x14ac:dyDescent="0.15">
      <c r="D240" s="11" t="str">
        <f>Вводные!$D$188</f>
        <v>Ежемесячный расход на цели 9</v>
      </c>
      <c r="E240" s="12" t="s">
        <v>23</v>
      </c>
      <c r="F240" s="17">
        <v>2020</v>
      </c>
      <c r="G240" s="18">
        <v>2060</v>
      </c>
    </row>
    <row r="241" spans="2:62" x14ac:dyDescent="0.15">
      <c r="D241" s="11" t="str">
        <f>Вводные!$D$189</f>
        <v>Ежемесячный расход на цели 10</v>
      </c>
      <c r="E241" s="12" t="s">
        <v>23</v>
      </c>
      <c r="F241" s="17">
        <v>2020</v>
      </c>
      <c r="G241" s="18">
        <v>2060</v>
      </c>
    </row>
    <row r="243" spans="2:62" x14ac:dyDescent="0.15">
      <c r="D243" s="8" t="s">
        <v>28</v>
      </c>
    </row>
    <row r="244" spans="2:62" x14ac:dyDescent="0.15">
      <c r="D244" s="11" t="str">
        <f>Вводные!$D$206</f>
        <v>Отдых</v>
      </c>
      <c r="E244" s="12" t="s">
        <v>23</v>
      </c>
      <c r="F244" s="17">
        <v>2020</v>
      </c>
      <c r="G244" s="18">
        <v>2060</v>
      </c>
    </row>
    <row r="245" spans="2:62" x14ac:dyDescent="0.15">
      <c r="D245" s="11" t="str">
        <f>Вводные!$D$207</f>
        <v>Ежегодный расход на цели 2</v>
      </c>
      <c r="E245" s="12" t="s">
        <v>23</v>
      </c>
      <c r="F245" s="17">
        <v>2020</v>
      </c>
      <c r="G245" s="18">
        <v>2060</v>
      </c>
    </row>
    <row r="246" spans="2:62" x14ac:dyDescent="0.15">
      <c r="D246" s="11" t="str">
        <f>Вводные!$D$208</f>
        <v>Ежегодный расход на цели 3</v>
      </c>
      <c r="E246" s="12" t="s">
        <v>23</v>
      </c>
      <c r="F246" s="17">
        <v>2020</v>
      </c>
      <c r="G246" s="18">
        <v>2060</v>
      </c>
    </row>
    <row r="247" spans="2:62" x14ac:dyDescent="0.15">
      <c r="D247" s="11" t="str">
        <f>Вводные!$D$209</f>
        <v>Ежегодный расход на цели 4</v>
      </c>
      <c r="E247" s="12" t="s">
        <v>23</v>
      </c>
      <c r="F247" s="17">
        <v>2020</v>
      </c>
      <c r="G247" s="18">
        <v>2060</v>
      </c>
    </row>
    <row r="248" spans="2:62" x14ac:dyDescent="0.15">
      <c r="D248" s="11" t="str">
        <f>Вводные!$D$210</f>
        <v>Ежегодный расход на цели 5</v>
      </c>
      <c r="E248" s="12" t="s">
        <v>23</v>
      </c>
      <c r="F248" s="17">
        <v>2020</v>
      </c>
      <c r="G248" s="18">
        <v>2060</v>
      </c>
    </row>
    <row r="249" spans="2:62" x14ac:dyDescent="0.15">
      <c r="D249" s="11" t="str">
        <f>Вводные!$D$211</f>
        <v>Ежегодный расход на цели 6</v>
      </c>
      <c r="E249" s="12" t="s">
        <v>23</v>
      </c>
      <c r="F249" s="17">
        <v>2020</v>
      </c>
      <c r="G249" s="18">
        <v>2060</v>
      </c>
    </row>
    <row r="250" spans="2:62" x14ac:dyDescent="0.15">
      <c r="D250" s="11" t="str">
        <f>Вводные!$D$212</f>
        <v>Ежегодный расход на цели 7</v>
      </c>
      <c r="E250" s="12" t="s">
        <v>23</v>
      </c>
      <c r="F250" s="17">
        <v>2020</v>
      </c>
      <c r="G250" s="18">
        <v>2060</v>
      </c>
    </row>
    <row r="251" spans="2:62" x14ac:dyDescent="0.15">
      <c r="D251" s="11" t="str">
        <f>Вводные!$D$213</f>
        <v>Ежегодный расход на цели 8</v>
      </c>
      <c r="E251" s="12" t="s">
        <v>23</v>
      </c>
      <c r="F251" s="17">
        <v>2020</v>
      </c>
      <c r="G251" s="18">
        <v>2060</v>
      </c>
    </row>
    <row r="252" spans="2:62" x14ac:dyDescent="0.15">
      <c r="D252" s="11" t="str">
        <f>Вводные!$D$214</f>
        <v>Ежегодный расход на цели 9</v>
      </c>
      <c r="E252" s="12" t="s">
        <v>23</v>
      </c>
      <c r="F252" s="17">
        <v>2020</v>
      </c>
      <c r="G252" s="18">
        <v>2060</v>
      </c>
    </row>
    <row r="253" spans="2:62" x14ac:dyDescent="0.15">
      <c r="D253" s="11" t="str">
        <f>Вводные!$D$215</f>
        <v>Ежегодный расход на цели 10</v>
      </c>
      <c r="E253" s="12" t="s">
        <v>23</v>
      </c>
      <c r="F253" s="17">
        <v>2020</v>
      </c>
      <c r="G253" s="18">
        <v>2060</v>
      </c>
    </row>
    <row r="255" spans="2:62" ht="12" x14ac:dyDescent="0.15">
      <c r="B255" s="1">
        <f>MAX( $B$7:B218 ) + 1</f>
        <v>5</v>
      </c>
      <c r="C255" s="1"/>
      <c r="D255" s="1" t="s">
        <v>66</v>
      </c>
      <c r="E255" s="1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</row>
    <row r="257" spans="4:6" x14ac:dyDescent="0.15">
      <c r="D257" t="s">
        <v>68</v>
      </c>
      <c r="E257" s="12" t="s">
        <v>69</v>
      </c>
      <c r="F257" s="18">
        <v>50</v>
      </c>
    </row>
    <row r="258" spans="4:6" x14ac:dyDescent="0.15">
      <c r="D258" t="s">
        <v>72</v>
      </c>
      <c r="E258" s="12" t="s">
        <v>108</v>
      </c>
      <c r="F258" s="4">
        <v>-10000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249977111117893"/>
  </sheetPr>
  <dimension ref="A3:BM60"/>
  <sheetViews>
    <sheetView showGridLines="0" zoomScale="150" zoomScaleNormal="150" workbookViewId="0">
      <pane xSplit="7" ySplit="6" topLeftCell="H14" activePane="bottomRight" state="frozen"/>
      <selection activeCell="D12" sqref="D12:M25"/>
      <selection pane="topRight" activeCell="D12" sqref="D12:M25"/>
      <selection pane="bottomLeft" activeCell="D12" sqref="D12:M25"/>
      <selection pane="bottomRight" activeCell="D12" sqref="D12:M25"/>
    </sheetView>
  </sheetViews>
  <sheetFormatPr baseColWidth="10" defaultColWidth="0" defaultRowHeight="11" x14ac:dyDescent="0.15"/>
  <cols>
    <col min="1" max="1" width="2.75" customWidth="1"/>
    <col min="2" max="3" width="3.75" customWidth="1"/>
    <col min="4" max="4" width="40.75" customWidth="1"/>
    <col min="5" max="5" width="10.25" style="12" bestFit="1" customWidth="1"/>
    <col min="6" max="7" width="9" customWidth="1"/>
    <col min="8" max="8" width="2.75" customWidth="1"/>
    <col min="9" max="62" width="10.75" customWidth="1"/>
    <col min="63" max="63" width="9" customWidth="1"/>
    <col min="64" max="65" width="0" hidden="1" customWidth="1"/>
    <col min="66" max="16384" width="9" hidden="1"/>
  </cols>
  <sheetData>
    <row r="3" spans="2:62" x14ac:dyDescent="0.15">
      <c r="D3" s="8" t="str">
        <f>Вводные!D3</f>
        <v>Год</v>
      </c>
      <c r="J3" s="8">
        <f>Вводные!J3</f>
        <v>2024</v>
      </c>
      <c r="K3" s="8">
        <f>Вводные!K3</f>
        <v>2025</v>
      </c>
      <c r="L3" s="8">
        <f>Вводные!L3</f>
        <v>2026</v>
      </c>
      <c r="M3" s="8">
        <f>Вводные!M3</f>
        <v>2027</v>
      </c>
      <c r="N3" s="8">
        <f>Вводные!N3</f>
        <v>2028</v>
      </c>
      <c r="O3" s="8">
        <f>Вводные!O3</f>
        <v>2029</v>
      </c>
      <c r="P3" s="8">
        <f>Вводные!P3</f>
        <v>2030</v>
      </c>
      <c r="Q3" s="8">
        <f>Вводные!Q3</f>
        <v>2031</v>
      </c>
      <c r="R3" s="8">
        <f>Вводные!R3</f>
        <v>2032</v>
      </c>
      <c r="S3" s="8">
        <f>Вводные!S3</f>
        <v>2033</v>
      </c>
      <c r="T3" s="8">
        <f>Вводные!T3</f>
        <v>2034</v>
      </c>
      <c r="U3" s="8">
        <f>Вводные!U3</f>
        <v>2035</v>
      </c>
      <c r="V3" s="8">
        <f>Вводные!V3</f>
        <v>2036</v>
      </c>
      <c r="W3" s="8">
        <f>Вводные!W3</f>
        <v>2037</v>
      </c>
      <c r="X3" s="8">
        <f>Вводные!X3</f>
        <v>2038</v>
      </c>
      <c r="Y3" s="8">
        <f>Вводные!Y3</f>
        <v>2039</v>
      </c>
      <c r="Z3" s="8">
        <f>Вводные!Z3</f>
        <v>2040</v>
      </c>
      <c r="AA3" s="8">
        <f>Вводные!AA3</f>
        <v>2041</v>
      </c>
      <c r="AB3" s="8">
        <f>Вводные!AB3</f>
        <v>2042</v>
      </c>
      <c r="AC3" s="8">
        <f>Вводные!AC3</f>
        <v>2043</v>
      </c>
      <c r="AD3" s="8">
        <f>Вводные!AD3</f>
        <v>2044</v>
      </c>
      <c r="AE3" s="8">
        <f>Вводные!AE3</f>
        <v>2045</v>
      </c>
      <c r="AF3" s="8">
        <f>Вводные!AF3</f>
        <v>2046</v>
      </c>
      <c r="AG3" s="8">
        <f>Вводные!AG3</f>
        <v>2047</v>
      </c>
      <c r="AH3" s="8">
        <f>Вводные!AH3</f>
        <v>2048</v>
      </c>
      <c r="AI3" s="8">
        <f>Вводные!AI3</f>
        <v>2049</v>
      </c>
      <c r="AJ3" s="8">
        <f>Вводные!AJ3</f>
        <v>2050</v>
      </c>
      <c r="AK3" s="8">
        <f>Вводные!AK3</f>
        <v>2051</v>
      </c>
      <c r="AL3" s="8">
        <f>Вводные!AL3</f>
        <v>2052</v>
      </c>
      <c r="AM3" s="8">
        <f>Вводные!AM3</f>
        <v>2053</v>
      </c>
      <c r="AN3" s="8">
        <f>Вводные!AN3</f>
        <v>2054</v>
      </c>
      <c r="AO3" s="8">
        <f>Вводные!AO3</f>
        <v>2055</v>
      </c>
      <c r="AP3" s="8">
        <f>Вводные!AP3</f>
        <v>2056</v>
      </c>
      <c r="AQ3" s="8">
        <f>Вводные!AQ3</f>
        <v>2057</v>
      </c>
      <c r="AR3" s="8">
        <f>Вводные!AR3</f>
        <v>2058</v>
      </c>
      <c r="AS3" s="8">
        <f>Вводные!AS3</f>
        <v>2059</v>
      </c>
      <c r="AT3" s="8">
        <f>Вводные!AT3</f>
        <v>2060</v>
      </c>
      <c r="AU3" s="8">
        <f>Вводные!AU3</f>
        <v>2061</v>
      </c>
      <c r="AV3" s="8">
        <f>Вводные!AV3</f>
        <v>2062</v>
      </c>
      <c r="AW3" s="8">
        <f>Вводные!AW3</f>
        <v>2063</v>
      </c>
      <c r="AX3" s="8">
        <f>Вводные!AX3</f>
        <v>2064</v>
      </c>
      <c r="AY3" s="8">
        <f>Вводные!AY3</f>
        <v>2065</v>
      </c>
      <c r="AZ3" s="8">
        <f>Вводные!AZ3</f>
        <v>2066</v>
      </c>
      <c r="BA3" s="8">
        <f>Вводные!BA3</f>
        <v>2067</v>
      </c>
      <c r="BB3" s="8">
        <f>Вводные!BB3</f>
        <v>2068</v>
      </c>
      <c r="BC3" s="8">
        <f>Вводные!BC3</f>
        <v>2069</v>
      </c>
      <c r="BD3" s="8">
        <f>Вводные!BD3</f>
        <v>2070</v>
      </c>
      <c r="BE3" s="8">
        <f>Вводные!BE3</f>
        <v>2071</v>
      </c>
      <c r="BF3" s="8">
        <f>Вводные!BF3</f>
        <v>2072</v>
      </c>
      <c r="BG3" s="8">
        <f>Вводные!BG3</f>
        <v>2073</v>
      </c>
      <c r="BH3" s="8">
        <f>Вводные!BH3</f>
        <v>2074</v>
      </c>
      <c r="BI3" s="8">
        <f>Вводные!BI3</f>
        <v>2075</v>
      </c>
      <c r="BJ3" s="8">
        <f>Вводные!BJ3</f>
        <v>2076</v>
      </c>
    </row>
    <row r="4" spans="2:62" x14ac:dyDescent="0.15">
      <c r="D4" t="str">
        <f>Вводные!D4</f>
        <v>Возраст</v>
      </c>
      <c r="J4">
        <f>Вводные!J4</f>
        <v>31</v>
      </c>
      <c r="K4">
        <f>Вводные!K4</f>
        <v>32</v>
      </c>
      <c r="L4">
        <f>Вводные!L4</f>
        <v>33</v>
      </c>
      <c r="M4">
        <f>Вводные!M4</f>
        <v>34</v>
      </c>
      <c r="N4">
        <f>Вводные!N4</f>
        <v>35</v>
      </c>
      <c r="O4">
        <f>Вводные!O4</f>
        <v>36</v>
      </c>
      <c r="P4">
        <f>Вводные!P4</f>
        <v>37</v>
      </c>
      <c r="Q4">
        <f>Вводные!Q4</f>
        <v>38</v>
      </c>
      <c r="R4">
        <f>Вводные!R4</f>
        <v>39</v>
      </c>
      <c r="S4">
        <f>Вводные!S4</f>
        <v>40</v>
      </c>
      <c r="T4">
        <f>Вводные!T4</f>
        <v>41</v>
      </c>
      <c r="U4">
        <f>Вводные!U4</f>
        <v>42</v>
      </c>
      <c r="V4">
        <f>Вводные!V4</f>
        <v>43</v>
      </c>
      <c r="W4">
        <f>Вводные!W4</f>
        <v>44</v>
      </c>
      <c r="X4">
        <f>Вводные!X4</f>
        <v>45</v>
      </c>
      <c r="Y4">
        <f>Вводные!Y4</f>
        <v>46</v>
      </c>
      <c r="Z4">
        <f>Вводные!Z4</f>
        <v>47</v>
      </c>
      <c r="AA4">
        <f>Вводные!AA4</f>
        <v>48</v>
      </c>
      <c r="AB4">
        <f>Вводные!AB4</f>
        <v>49</v>
      </c>
      <c r="AC4">
        <f>Вводные!AC4</f>
        <v>50</v>
      </c>
      <c r="AD4">
        <f>Вводные!AD4</f>
        <v>51</v>
      </c>
      <c r="AE4">
        <f>Вводные!AE4</f>
        <v>52</v>
      </c>
      <c r="AF4">
        <f>Вводные!AF4</f>
        <v>53</v>
      </c>
      <c r="AG4">
        <f>Вводные!AG4</f>
        <v>54</v>
      </c>
      <c r="AH4">
        <f>Вводные!AH4</f>
        <v>55</v>
      </c>
      <c r="AI4">
        <f>Вводные!AI4</f>
        <v>56</v>
      </c>
      <c r="AJ4">
        <f>Вводные!AJ4</f>
        <v>57</v>
      </c>
      <c r="AK4">
        <f>Вводные!AK4</f>
        <v>58</v>
      </c>
      <c r="AL4">
        <f>Вводные!AL4</f>
        <v>59</v>
      </c>
      <c r="AM4">
        <f>Вводные!AM4</f>
        <v>60</v>
      </c>
      <c r="AN4">
        <f>Вводные!AN4</f>
        <v>61</v>
      </c>
      <c r="AO4">
        <f>Вводные!AO4</f>
        <v>62</v>
      </c>
      <c r="AP4">
        <f>Вводные!AP4</f>
        <v>63</v>
      </c>
      <c r="AQ4">
        <f>Вводные!AQ4</f>
        <v>64</v>
      </c>
      <c r="AR4">
        <f>Вводные!AR4</f>
        <v>65</v>
      </c>
      <c r="AS4">
        <f>Вводные!AS4</f>
        <v>66</v>
      </c>
      <c r="AT4">
        <f>Вводные!AT4</f>
        <v>67</v>
      </c>
      <c r="AU4">
        <f>Вводные!AU4</f>
        <v>68</v>
      </c>
      <c r="AV4">
        <f>Вводные!AV4</f>
        <v>69</v>
      </c>
      <c r="AW4">
        <f>Вводные!AW4</f>
        <v>70</v>
      </c>
      <c r="AX4">
        <f>Вводные!AX4</f>
        <v>71</v>
      </c>
      <c r="AY4">
        <f>Вводные!AY4</f>
        <v>72</v>
      </c>
      <c r="AZ4">
        <f>Вводные!AZ4</f>
        <v>73</v>
      </c>
      <c r="BA4">
        <f>Вводные!BA4</f>
        <v>74</v>
      </c>
      <c r="BB4">
        <f>Вводные!BB4</f>
        <v>75</v>
      </c>
      <c r="BC4">
        <f>Вводные!BC4</f>
        <v>76</v>
      </c>
      <c r="BD4">
        <f>Вводные!BD4</f>
        <v>77</v>
      </c>
      <c r="BE4">
        <f>Вводные!BE4</f>
        <v>78</v>
      </c>
      <c r="BF4">
        <f>Вводные!BF4</f>
        <v>79</v>
      </c>
      <c r="BG4">
        <f>Вводные!BG4</f>
        <v>80</v>
      </c>
      <c r="BH4">
        <f>Вводные!BH4</f>
        <v>81</v>
      </c>
      <c r="BI4">
        <f>Вводные!BI4</f>
        <v>82</v>
      </c>
      <c r="BJ4">
        <f>Вводные!BJ4</f>
        <v>83</v>
      </c>
    </row>
    <row r="5" spans="2:62" x14ac:dyDescent="0.15">
      <c r="D5" t="str">
        <f>Вводные!D5</f>
        <v>№ периода</v>
      </c>
      <c r="J5">
        <f>Вводные!J5</f>
        <v>1</v>
      </c>
      <c r="K5">
        <f>Вводные!K5</f>
        <v>2</v>
      </c>
      <c r="L5">
        <f>Вводные!L5</f>
        <v>3</v>
      </c>
      <c r="M5">
        <f>Вводные!M5</f>
        <v>4</v>
      </c>
      <c r="N5">
        <f>Вводные!N5</f>
        <v>5</v>
      </c>
      <c r="O5">
        <f>Вводные!O5</f>
        <v>6</v>
      </c>
      <c r="P5">
        <f>Вводные!P5</f>
        <v>7</v>
      </c>
      <c r="Q5">
        <f>Вводные!Q5</f>
        <v>8</v>
      </c>
      <c r="R5">
        <f>Вводные!R5</f>
        <v>9</v>
      </c>
      <c r="S5">
        <f>Вводные!S5</f>
        <v>10</v>
      </c>
      <c r="T5">
        <f>Вводные!T5</f>
        <v>11</v>
      </c>
      <c r="U5">
        <f>Вводные!U5</f>
        <v>12</v>
      </c>
      <c r="V5">
        <f>Вводные!V5</f>
        <v>13</v>
      </c>
      <c r="W5">
        <f>Вводные!W5</f>
        <v>14</v>
      </c>
      <c r="X5">
        <f>Вводные!X5</f>
        <v>15</v>
      </c>
      <c r="Y5">
        <f>Вводные!Y5</f>
        <v>16</v>
      </c>
      <c r="Z5">
        <f>Вводные!Z5</f>
        <v>17</v>
      </c>
      <c r="AA5">
        <f>Вводные!AA5</f>
        <v>18</v>
      </c>
      <c r="AB5">
        <f>Вводные!AB5</f>
        <v>19</v>
      </c>
      <c r="AC5">
        <f>Вводные!AC5</f>
        <v>20</v>
      </c>
      <c r="AD5">
        <f>Вводные!AD5</f>
        <v>21</v>
      </c>
      <c r="AE5">
        <f>Вводные!AE5</f>
        <v>22</v>
      </c>
      <c r="AF5">
        <f>Вводные!AF5</f>
        <v>23</v>
      </c>
      <c r="AG5">
        <f>Вводные!AG5</f>
        <v>24</v>
      </c>
      <c r="AH5">
        <f>Вводные!AH5</f>
        <v>25</v>
      </c>
      <c r="AI5">
        <f>Вводные!AI5</f>
        <v>26</v>
      </c>
      <c r="AJ5">
        <f>Вводные!AJ5</f>
        <v>27</v>
      </c>
      <c r="AK5">
        <f>Вводные!AK5</f>
        <v>28</v>
      </c>
      <c r="AL5">
        <f>Вводные!AL5</f>
        <v>29</v>
      </c>
      <c r="AM5">
        <f>Вводные!AM5</f>
        <v>30</v>
      </c>
      <c r="AN5">
        <f>Вводные!AN5</f>
        <v>31</v>
      </c>
      <c r="AO5">
        <f>Вводные!AO5</f>
        <v>32</v>
      </c>
      <c r="AP5">
        <f>Вводные!AP5</f>
        <v>33</v>
      </c>
      <c r="AQ5">
        <f>Вводные!AQ5</f>
        <v>34</v>
      </c>
      <c r="AR5">
        <f>Вводные!AR5</f>
        <v>35</v>
      </c>
      <c r="AS5">
        <f>Вводные!AS5</f>
        <v>36</v>
      </c>
      <c r="AT5">
        <f>Вводные!AT5</f>
        <v>37</v>
      </c>
      <c r="AU5">
        <f>Вводные!AU5</f>
        <v>38</v>
      </c>
      <c r="AV5">
        <f>Вводные!AV5</f>
        <v>39</v>
      </c>
      <c r="AW5">
        <f>Вводные!AW5</f>
        <v>40</v>
      </c>
      <c r="AX5">
        <f>Вводные!AX5</f>
        <v>41</v>
      </c>
      <c r="AY5">
        <f>Вводные!AY5</f>
        <v>42</v>
      </c>
      <c r="AZ5">
        <f>Вводные!AZ5</f>
        <v>43</v>
      </c>
      <c r="BA5">
        <f>Вводные!BA5</f>
        <v>44</v>
      </c>
      <c r="BB5">
        <f>Вводные!BB5</f>
        <v>45</v>
      </c>
      <c r="BC5">
        <f>Вводные!BC5</f>
        <v>46</v>
      </c>
      <c r="BD5">
        <f>Вводные!BD5</f>
        <v>47</v>
      </c>
      <c r="BE5">
        <f>Вводные!BE5</f>
        <v>48</v>
      </c>
      <c r="BF5">
        <f>Вводные!BF5</f>
        <v>49</v>
      </c>
      <c r="BG5">
        <f>Вводные!BG5</f>
        <v>50</v>
      </c>
      <c r="BH5">
        <f>Вводные!BH5</f>
        <v>51</v>
      </c>
      <c r="BI5">
        <f>Вводные!BI5</f>
        <v>52</v>
      </c>
      <c r="BJ5">
        <f>Вводные!BJ5</f>
        <v>53</v>
      </c>
    </row>
    <row r="8" spans="2:62" ht="12" x14ac:dyDescent="0.15">
      <c r="B8" s="1">
        <f>MAX( $B5:B$7 ) + 1</f>
        <v>1</v>
      </c>
      <c r="C8" s="1"/>
      <c r="D8" s="1" t="s">
        <v>25</v>
      </c>
      <c r="E8" s="1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</row>
    <row r="10" spans="2:62" x14ac:dyDescent="0.15">
      <c r="C10" s="2">
        <f>MAX( $B$7:C9 ) + 0.1</f>
        <v>1.1000000000000001</v>
      </c>
      <c r="D10" s="2" t="s">
        <v>36</v>
      </c>
      <c r="E10" s="1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</row>
    <row r="12" spans="2:62" x14ac:dyDescent="0.15">
      <c r="D12" s="8" t="s">
        <v>6</v>
      </c>
    </row>
    <row r="13" spans="2:62" x14ac:dyDescent="0.15">
      <c r="C13" t="s">
        <v>35</v>
      </c>
      <c r="D13" s="11" t="str">
        <f>Вводные!$D$22</f>
        <v>Income 1</v>
      </c>
      <c r="E13" s="12" t="s">
        <v>37</v>
      </c>
      <c r="J13" s="3">
        <f>IF( AND(J$3 &gt;= Вводные!$F29, J$3 &lt;= Вводные!$G29), 1, 0)</f>
        <v>1</v>
      </c>
      <c r="K13" s="3">
        <f>IF( AND(K$3 &gt;= Вводные!$F29, K$3 &lt;= Вводные!$G29), 1, 0)</f>
        <v>1</v>
      </c>
      <c r="L13" s="3">
        <f>IF( AND(L$3 &gt;= Вводные!$F29, L$3 &lt;= Вводные!$G29), 1, 0)</f>
        <v>1</v>
      </c>
      <c r="M13" s="3">
        <f>IF( AND(M$3 &gt;= Вводные!$F29, M$3 &lt;= Вводные!$G29), 1, 0)</f>
        <v>1</v>
      </c>
      <c r="N13" s="3">
        <f>IF( AND(N$3 &gt;= Вводные!$F29, N$3 &lt;= Вводные!$G29), 1, 0)</f>
        <v>1</v>
      </c>
      <c r="O13" s="3">
        <f>IF( AND(O$3 &gt;= Вводные!$F29, O$3 &lt;= Вводные!$G29), 1, 0)</f>
        <v>1</v>
      </c>
      <c r="P13" s="3">
        <f>IF( AND(P$3 &gt;= Вводные!$F29, P$3 &lt;= Вводные!$G29), 1, 0)</f>
        <v>1</v>
      </c>
      <c r="Q13" s="3">
        <f>IF( AND(Q$3 &gt;= Вводные!$F29, Q$3 &lt;= Вводные!$G29), 1, 0)</f>
        <v>1</v>
      </c>
      <c r="R13" s="3">
        <f>IF( AND(R$3 &gt;= Вводные!$F29, R$3 &lt;= Вводные!$G29), 1, 0)</f>
        <v>1</v>
      </c>
      <c r="S13" s="3">
        <f>IF( AND(S$3 &gt;= Вводные!$F29, S$3 &lt;= Вводные!$G29), 1, 0)</f>
        <v>1</v>
      </c>
      <c r="T13" s="3">
        <f>IF( AND(T$3 &gt;= Вводные!$F29, T$3 &lt;= Вводные!$G29), 1, 0)</f>
        <v>1</v>
      </c>
      <c r="U13" s="3">
        <f>IF( AND(U$3 &gt;= Вводные!$F29, U$3 &lt;= Вводные!$G29), 1, 0)</f>
        <v>1</v>
      </c>
      <c r="V13" s="3">
        <f>IF( AND(V$3 &gt;= Вводные!$F29, V$3 &lt;= Вводные!$G29), 1, 0)</f>
        <v>1</v>
      </c>
      <c r="W13" s="3">
        <f>IF( AND(W$3 &gt;= Вводные!$F29, W$3 &lt;= Вводные!$G29), 1, 0)</f>
        <v>1</v>
      </c>
      <c r="X13" s="3">
        <f>IF( AND(X$3 &gt;= Вводные!$F29, X$3 &lt;= Вводные!$G29), 1, 0)</f>
        <v>1</v>
      </c>
      <c r="Y13" s="3">
        <f>IF( AND(Y$3 &gt;= Вводные!$F29, Y$3 &lt;= Вводные!$G29), 1, 0)</f>
        <v>1</v>
      </c>
      <c r="Z13" s="3">
        <f>IF( AND(Z$3 &gt;= Вводные!$F29, Z$3 &lt;= Вводные!$G29), 1, 0)</f>
        <v>1</v>
      </c>
      <c r="AA13" s="3">
        <f>IF( AND(AA$3 &gt;= Вводные!$F29, AA$3 &lt;= Вводные!$G29), 1, 0)</f>
        <v>1</v>
      </c>
      <c r="AB13" s="3">
        <f>IF( AND(AB$3 &gt;= Вводные!$F29, AB$3 &lt;= Вводные!$G29), 1, 0)</f>
        <v>1</v>
      </c>
      <c r="AC13" s="3">
        <f>IF( AND(AC$3 &gt;= Вводные!$F29, AC$3 &lt;= Вводные!$G29), 1, 0)</f>
        <v>1</v>
      </c>
      <c r="AD13" s="3">
        <f>IF( AND(AD$3 &gt;= Вводные!$F29, AD$3 &lt;= Вводные!$G29), 1, 0)</f>
        <v>1</v>
      </c>
      <c r="AE13" s="3">
        <f>IF( AND(AE$3 &gt;= Вводные!$F29, AE$3 &lt;= Вводные!$G29), 1, 0)</f>
        <v>1</v>
      </c>
      <c r="AF13" s="3">
        <f>IF( AND(AF$3 &gt;= Вводные!$F29, AF$3 &lt;= Вводные!$G29), 1, 0)</f>
        <v>1</v>
      </c>
      <c r="AG13" s="3">
        <f>IF( AND(AG$3 &gt;= Вводные!$F29, AG$3 &lt;= Вводные!$G29), 1, 0)</f>
        <v>1</v>
      </c>
      <c r="AH13" s="3">
        <f>IF( AND(AH$3 &gt;= Вводные!$F29, AH$3 &lt;= Вводные!$G29), 1, 0)</f>
        <v>1</v>
      </c>
      <c r="AI13" s="3">
        <f>IF( AND(AI$3 &gt;= Вводные!$F29, AI$3 &lt;= Вводные!$G29), 1, 0)</f>
        <v>1</v>
      </c>
      <c r="AJ13" s="3">
        <f>IF( AND(AJ$3 &gt;= Вводные!$F29, AJ$3 &lt;= Вводные!$G29), 1, 0)</f>
        <v>1</v>
      </c>
      <c r="AK13" s="3">
        <f>IF( AND(AK$3 &gt;= Вводные!$F29, AK$3 &lt;= Вводные!$G29), 1, 0)</f>
        <v>1</v>
      </c>
      <c r="AL13" s="3">
        <f>IF( AND(AL$3 &gt;= Вводные!$F29, AL$3 &lt;= Вводные!$G29), 1, 0)</f>
        <v>1</v>
      </c>
      <c r="AM13" s="3">
        <f>IF( AND(AM$3 &gt;= Вводные!$F29, AM$3 &lt;= Вводные!$G29), 1, 0)</f>
        <v>1</v>
      </c>
      <c r="AN13" s="3">
        <f>IF( AND(AN$3 &gt;= Вводные!$F29, AN$3 &lt;= Вводные!$G29), 1, 0)</f>
        <v>1</v>
      </c>
      <c r="AO13" s="3">
        <f>IF( AND(AO$3 &gt;= Вводные!$F29, AO$3 &lt;= Вводные!$G29), 1, 0)</f>
        <v>1</v>
      </c>
      <c r="AP13" s="3">
        <f>IF( AND(AP$3 &gt;= Вводные!$F29, AP$3 &lt;= Вводные!$G29), 1, 0)</f>
        <v>1</v>
      </c>
      <c r="AQ13" s="3">
        <f>IF( AND(AQ$3 &gt;= Вводные!$F29, AQ$3 &lt;= Вводные!$G29), 1, 0)</f>
        <v>1</v>
      </c>
      <c r="AR13" s="3">
        <f>IF( AND(AR$3 &gt;= Вводные!$F29, AR$3 &lt;= Вводные!$G29), 1, 0)</f>
        <v>1</v>
      </c>
      <c r="AS13" s="3">
        <f>IF( AND(AS$3 &gt;= Вводные!$F29, AS$3 &lt;= Вводные!$G29), 1, 0)</f>
        <v>1</v>
      </c>
      <c r="AT13" s="3">
        <f>IF( AND(AT$3 &gt;= Вводные!$F29, AT$3 &lt;= Вводные!$G29), 1, 0)</f>
        <v>1</v>
      </c>
      <c r="AU13" s="3">
        <f>IF( AND(AU$3 &gt;= Вводные!$F29, AU$3 &lt;= Вводные!$G29), 1, 0)</f>
        <v>1</v>
      </c>
      <c r="AV13" s="3">
        <f>IF( AND(AV$3 &gt;= Вводные!$F29, AV$3 &lt;= Вводные!$G29), 1, 0)</f>
        <v>1</v>
      </c>
      <c r="AW13" s="3">
        <f>IF( AND(AW$3 &gt;= Вводные!$F29, AW$3 &lt;= Вводные!$G29), 1, 0)</f>
        <v>1</v>
      </c>
      <c r="AX13" s="3">
        <f>IF( AND(AX$3 &gt;= Вводные!$F29, AX$3 &lt;= Вводные!$G29), 1, 0)</f>
        <v>1</v>
      </c>
      <c r="AY13" s="3">
        <f>IF( AND(AY$3 &gt;= Вводные!$F29, AY$3 &lt;= Вводные!$G29), 1, 0)</f>
        <v>1</v>
      </c>
      <c r="AZ13" s="3">
        <f>IF( AND(AZ$3 &gt;= Вводные!$F29, AZ$3 &lt;= Вводные!$G29), 1, 0)</f>
        <v>1</v>
      </c>
      <c r="BA13" s="3">
        <f>IF( AND(BA$3 &gt;= Вводные!$F29, BA$3 &lt;= Вводные!$G29), 1, 0)</f>
        <v>1</v>
      </c>
      <c r="BB13" s="3">
        <f>IF( AND(BB$3 &gt;= Вводные!$F29, BB$3 &lt;= Вводные!$G29), 1, 0)</f>
        <v>1</v>
      </c>
      <c r="BC13" s="3">
        <f>IF( AND(BC$3 &gt;= Вводные!$F29, BC$3 &lt;= Вводные!$G29), 1, 0)</f>
        <v>1</v>
      </c>
      <c r="BD13" s="3">
        <f>IF( AND(BD$3 &gt;= Вводные!$F29, BD$3 &lt;= Вводные!$G29), 1, 0)</f>
        <v>1</v>
      </c>
      <c r="BE13" s="3">
        <f>IF( AND(BE$3 &gt;= Вводные!$F29, BE$3 &lt;= Вводные!$G29), 1, 0)</f>
        <v>1</v>
      </c>
      <c r="BF13" s="3">
        <f>IF( AND(BF$3 &gt;= Вводные!$F29, BF$3 &lt;= Вводные!$G29), 1, 0)</f>
        <v>1</v>
      </c>
      <c r="BG13" s="3">
        <f>IF( AND(BG$3 &gt;= Вводные!$F29, BG$3 &lt;= Вводные!$G29), 1, 0)</f>
        <v>1</v>
      </c>
      <c r="BH13" s="3">
        <f>IF( AND(BH$3 &gt;= Вводные!$F29, BH$3 &lt;= Вводные!$G29), 1, 0)</f>
        <v>1</v>
      </c>
      <c r="BI13" s="3">
        <f>IF( AND(BI$3 &gt;= Вводные!$F29, BI$3 &lt;= Вводные!$G29), 1, 0)</f>
        <v>1</v>
      </c>
      <c r="BJ13" s="3">
        <f>IF( AND(BJ$3 &gt;= Вводные!$F29, BJ$3 &lt;= Вводные!$G29), 1, 0)</f>
        <v>1</v>
      </c>
    </row>
    <row r="14" spans="2:62" x14ac:dyDescent="0.15">
      <c r="C14" t="s">
        <v>35</v>
      </c>
      <c r="D14" s="11" t="str">
        <f>Вводные!$D$23</f>
        <v>Income 2</v>
      </c>
      <c r="E14" s="12" t="s">
        <v>37</v>
      </c>
      <c r="J14" s="3">
        <f>IF( AND(J$3 &gt;= Вводные!$F30, J$3 &lt;= Вводные!$G30), 1, 0)</f>
        <v>1</v>
      </c>
      <c r="K14" s="3">
        <f>IF( AND(K$3 &gt;= Вводные!$F30, K$3 &lt;= Вводные!$G30), 1, 0)</f>
        <v>0</v>
      </c>
      <c r="L14" s="3">
        <f>IF( AND(L$3 &gt;= Вводные!$F30, L$3 &lt;= Вводные!$G30), 1, 0)</f>
        <v>0</v>
      </c>
      <c r="M14" s="3">
        <f>IF( AND(M$3 &gt;= Вводные!$F30, M$3 &lt;= Вводные!$G30), 1, 0)</f>
        <v>0</v>
      </c>
      <c r="N14" s="3">
        <f>IF( AND(N$3 &gt;= Вводные!$F30, N$3 &lt;= Вводные!$G30), 1, 0)</f>
        <v>0</v>
      </c>
      <c r="O14" s="3">
        <f>IF( AND(O$3 &gt;= Вводные!$F30, O$3 &lt;= Вводные!$G30), 1, 0)</f>
        <v>0</v>
      </c>
      <c r="P14" s="3">
        <f>IF( AND(P$3 &gt;= Вводные!$F30, P$3 &lt;= Вводные!$G30), 1, 0)</f>
        <v>0</v>
      </c>
      <c r="Q14" s="3">
        <f>IF( AND(Q$3 &gt;= Вводные!$F30, Q$3 &lt;= Вводные!$G30), 1, 0)</f>
        <v>0</v>
      </c>
      <c r="R14" s="3">
        <f>IF( AND(R$3 &gt;= Вводные!$F30, R$3 &lt;= Вводные!$G30), 1, 0)</f>
        <v>0</v>
      </c>
      <c r="S14" s="3">
        <f>IF( AND(S$3 &gt;= Вводные!$F30, S$3 &lt;= Вводные!$G30), 1, 0)</f>
        <v>0</v>
      </c>
      <c r="T14" s="3">
        <f>IF( AND(T$3 &gt;= Вводные!$F30, T$3 &lt;= Вводные!$G30), 1, 0)</f>
        <v>0</v>
      </c>
      <c r="U14" s="3">
        <f>IF( AND(U$3 &gt;= Вводные!$F30, U$3 &lt;= Вводные!$G30), 1, 0)</f>
        <v>0</v>
      </c>
      <c r="V14" s="3">
        <f>IF( AND(V$3 &gt;= Вводные!$F30, V$3 &lt;= Вводные!$G30), 1, 0)</f>
        <v>0</v>
      </c>
      <c r="W14" s="3">
        <f>IF( AND(W$3 &gt;= Вводные!$F30, W$3 &lt;= Вводные!$G30), 1, 0)</f>
        <v>0</v>
      </c>
      <c r="X14" s="3">
        <f>IF( AND(X$3 &gt;= Вводные!$F30, X$3 &lt;= Вводные!$G30), 1, 0)</f>
        <v>0</v>
      </c>
      <c r="Y14" s="3">
        <f>IF( AND(Y$3 &gt;= Вводные!$F30, Y$3 &lt;= Вводные!$G30), 1, 0)</f>
        <v>0</v>
      </c>
      <c r="Z14" s="3">
        <f>IF( AND(Z$3 &gt;= Вводные!$F30, Z$3 &lt;= Вводные!$G30), 1, 0)</f>
        <v>0</v>
      </c>
      <c r="AA14" s="3">
        <f>IF( AND(AA$3 &gt;= Вводные!$F30, AA$3 &lt;= Вводные!$G30), 1, 0)</f>
        <v>0</v>
      </c>
      <c r="AB14" s="3">
        <f>IF( AND(AB$3 &gt;= Вводные!$F30, AB$3 &lt;= Вводные!$G30), 1, 0)</f>
        <v>0</v>
      </c>
      <c r="AC14" s="3">
        <f>IF( AND(AC$3 &gt;= Вводные!$F30, AC$3 &lt;= Вводные!$G30), 1, 0)</f>
        <v>0</v>
      </c>
      <c r="AD14" s="3">
        <f>IF( AND(AD$3 &gt;= Вводные!$F30, AD$3 &lt;= Вводные!$G30), 1, 0)</f>
        <v>0</v>
      </c>
      <c r="AE14" s="3">
        <f>IF( AND(AE$3 &gt;= Вводные!$F30, AE$3 &lt;= Вводные!$G30), 1, 0)</f>
        <v>0</v>
      </c>
      <c r="AF14" s="3">
        <f>IF( AND(AF$3 &gt;= Вводные!$F30, AF$3 &lt;= Вводные!$G30), 1, 0)</f>
        <v>0</v>
      </c>
      <c r="AG14" s="3">
        <f>IF( AND(AG$3 &gt;= Вводные!$F30, AG$3 &lt;= Вводные!$G30), 1, 0)</f>
        <v>0</v>
      </c>
      <c r="AH14" s="3">
        <f>IF( AND(AH$3 &gt;= Вводные!$F30, AH$3 &lt;= Вводные!$G30), 1, 0)</f>
        <v>0</v>
      </c>
      <c r="AI14" s="3">
        <f>IF( AND(AI$3 &gt;= Вводные!$F30, AI$3 &lt;= Вводные!$G30), 1, 0)</f>
        <v>0</v>
      </c>
      <c r="AJ14" s="3">
        <f>IF( AND(AJ$3 &gt;= Вводные!$F30, AJ$3 &lt;= Вводные!$G30), 1, 0)</f>
        <v>0</v>
      </c>
      <c r="AK14" s="3">
        <f>IF( AND(AK$3 &gt;= Вводные!$F30, AK$3 &lt;= Вводные!$G30), 1, 0)</f>
        <v>0</v>
      </c>
      <c r="AL14" s="3">
        <f>IF( AND(AL$3 &gt;= Вводные!$F30, AL$3 &lt;= Вводные!$G30), 1, 0)</f>
        <v>0</v>
      </c>
      <c r="AM14" s="3">
        <f>IF( AND(AM$3 &gt;= Вводные!$F30, AM$3 &lt;= Вводные!$G30), 1, 0)</f>
        <v>0</v>
      </c>
      <c r="AN14" s="3">
        <f>IF( AND(AN$3 &gt;= Вводные!$F30, AN$3 &lt;= Вводные!$G30), 1, 0)</f>
        <v>0</v>
      </c>
      <c r="AO14" s="3">
        <f>IF( AND(AO$3 &gt;= Вводные!$F30, AO$3 &lt;= Вводные!$G30), 1, 0)</f>
        <v>0</v>
      </c>
      <c r="AP14" s="3">
        <f>IF( AND(AP$3 &gt;= Вводные!$F30, AP$3 &lt;= Вводные!$G30), 1, 0)</f>
        <v>0</v>
      </c>
      <c r="AQ14" s="3">
        <f>IF( AND(AQ$3 &gt;= Вводные!$F30, AQ$3 &lt;= Вводные!$G30), 1, 0)</f>
        <v>0</v>
      </c>
      <c r="AR14" s="3">
        <f>IF( AND(AR$3 &gt;= Вводные!$F30, AR$3 &lt;= Вводные!$G30), 1, 0)</f>
        <v>0</v>
      </c>
      <c r="AS14" s="3">
        <f>IF( AND(AS$3 &gt;= Вводные!$F30, AS$3 &lt;= Вводные!$G30), 1, 0)</f>
        <v>0</v>
      </c>
      <c r="AT14" s="3">
        <f>IF( AND(AT$3 &gt;= Вводные!$F30, AT$3 &lt;= Вводные!$G30), 1, 0)</f>
        <v>0</v>
      </c>
      <c r="AU14" s="3">
        <f>IF( AND(AU$3 &gt;= Вводные!$F30, AU$3 &lt;= Вводные!$G30), 1, 0)</f>
        <v>0</v>
      </c>
      <c r="AV14" s="3">
        <f>IF( AND(AV$3 &gt;= Вводные!$F30, AV$3 &lt;= Вводные!$G30), 1, 0)</f>
        <v>0</v>
      </c>
      <c r="AW14" s="3">
        <f>IF( AND(AW$3 &gt;= Вводные!$F30, AW$3 &lt;= Вводные!$G30), 1, 0)</f>
        <v>0</v>
      </c>
      <c r="AX14" s="3">
        <f>IF( AND(AX$3 &gt;= Вводные!$F30, AX$3 &lt;= Вводные!$G30), 1, 0)</f>
        <v>0</v>
      </c>
      <c r="AY14" s="3">
        <f>IF( AND(AY$3 &gt;= Вводные!$F30, AY$3 &lt;= Вводные!$G30), 1, 0)</f>
        <v>0</v>
      </c>
      <c r="AZ14" s="3">
        <f>IF( AND(AZ$3 &gt;= Вводные!$F30, AZ$3 &lt;= Вводные!$G30), 1, 0)</f>
        <v>0</v>
      </c>
      <c r="BA14" s="3">
        <f>IF( AND(BA$3 &gt;= Вводные!$F30, BA$3 &lt;= Вводные!$G30), 1, 0)</f>
        <v>0</v>
      </c>
      <c r="BB14" s="3">
        <f>IF( AND(BB$3 &gt;= Вводные!$F30, BB$3 &lt;= Вводные!$G30), 1, 0)</f>
        <v>0</v>
      </c>
      <c r="BC14" s="3">
        <f>IF( AND(BC$3 &gt;= Вводные!$F30, BC$3 &lt;= Вводные!$G30), 1, 0)</f>
        <v>0</v>
      </c>
      <c r="BD14" s="3">
        <f>IF( AND(BD$3 &gt;= Вводные!$F30, BD$3 &lt;= Вводные!$G30), 1, 0)</f>
        <v>0</v>
      </c>
      <c r="BE14" s="3">
        <f>IF( AND(BE$3 &gt;= Вводные!$F30, BE$3 &lt;= Вводные!$G30), 1, 0)</f>
        <v>0</v>
      </c>
      <c r="BF14" s="3">
        <f>IF( AND(BF$3 &gt;= Вводные!$F30, BF$3 &lt;= Вводные!$G30), 1, 0)</f>
        <v>0</v>
      </c>
      <c r="BG14" s="3">
        <f>IF( AND(BG$3 &gt;= Вводные!$F30, BG$3 &lt;= Вводные!$G30), 1, 0)</f>
        <v>0</v>
      </c>
      <c r="BH14" s="3">
        <f>IF( AND(BH$3 &gt;= Вводные!$F30, BH$3 &lt;= Вводные!$G30), 1, 0)</f>
        <v>0</v>
      </c>
      <c r="BI14" s="3">
        <f>IF( AND(BI$3 &gt;= Вводные!$F30, BI$3 &lt;= Вводные!$G30), 1, 0)</f>
        <v>0</v>
      </c>
      <c r="BJ14" s="3">
        <f>IF( AND(BJ$3 &gt;= Вводные!$F30, BJ$3 &lt;= Вводные!$G30), 1, 0)</f>
        <v>0</v>
      </c>
    </row>
    <row r="15" spans="2:62" x14ac:dyDescent="0.15">
      <c r="D15" s="11" t="str">
        <f>Вводные!$D$24</f>
        <v>Income 3</v>
      </c>
      <c r="E15" s="12" t="s">
        <v>37</v>
      </c>
      <c r="J15" s="3">
        <f>IF( AND(J$3 &gt;= Вводные!$F31, J$3 &lt;= Вводные!$G31), 1, 0)</f>
        <v>1</v>
      </c>
      <c r="K15" s="3">
        <f>IF( AND(K$3 &gt;= Вводные!$F31, K$3 &lt;= Вводные!$G31), 1, 0)</f>
        <v>1</v>
      </c>
      <c r="L15" s="3">
        <f>IF( AND(L$3 &gt;= Вводные!$F31, L$3 &lt;= Вводные!$G31), 1, 0)</f>
        <v>1</v>
      </c>
      <c r="M15" s="3">
        <f>IF( AND(M$3 &gt;= Вводные!$F31, M$3 &lt;= Вводные!$G31), 1, 0)</f>
        <v>1</v>
      </c>
      <c r="N15" s="3">
        <f>IF( AND(N$3 &gt;= Вводные!$F31, N$3 &lt;= Вводные!$G31), 1, 0)</f>
        <v>1</v>
      </c>
      <c r="O15" s="3">
        <f>IF( AND(O$3 &gt;= Вводные!$F31, O$3 &lt;= Вводные!$G31), 1, 0)</f>
        <v>1</v>
      </c>
      <c r="P15" s="3">
        <f>IF( AND(P$3 &gt;= Вводные!$F31, P$3 &lt;= Вводные!$G31), 1, 0)</f>
        <v>1</v>
      </c>
      <c r="Q15" s="3">
        <f>IF( AND(Q$3 &gt;= Вводные!$F31, Q$3 &lt;= Вводные!$G31), 1, 0)</f>
        <v>1</v>
      </c>
      <c r="R15" s="3">
        <f>IF( AND(R$3 &gt;= Вводные!$F31, R$3 &lt;= Вводные!$G31), 1, 0)</f>
        <v>1</v>
      </c>
      <c r="S15" s="3">
        <f>IF( AND(S$3 &gt;= Вводные!$F31, S$3 &lt;= Вводные!$G31), 1, 0)</f>
        <v>1</v>
      </c>
      <c r="T15" s="3">
        <f>IF( AND(T$3 &gt;= Вводные!$F31, T$3 &lt;= Вводные!$G31), 1, 0)</f>
        <v>1</v>
      </c>
      <c r="U15" s="3">
        <f>IF( AND(U$3 &gt;= Вводные!$F31, U$3 &lt;= Вводные!$G31), 1, 0)</f>
        <v>1</v>
      </c>
      <c r="V15" s="3">
        <f>IF( AND(V$3 &gt;= Вводные!$F31, V$3 &lt;= Вводные!$G31), 1, 0)</f>
        <v>1</v>
      </c>
      <c r="W15" s="3">
        <f>IF( AND(W$3 &gt;= Вводные!$F31, W$3 &lt;= Вводные!$G31), 1, 0)</f>
        <v>1</v>
      </c>
      <c r="X15" s="3">
        <f>IF( AND(X$3 &gt;= Вводные!$F31, X$3 &lt;= Вводные!$G31), 1, 0)</f>
        <v>1</v>
      </c>
      <c r="Y15" s="3">
        <f>IF( AND(Y$3 &gt;= Вводные!$F31, Y$3 &lt;= Вводные!$G31), 1, 0)</f>
        <v>1</v>
      </c>
      <c r="Z15" s="3">
        <f>IF( AND(Z$3 &gt;= Вводные!$F31, Z$3 &lt;= Вводные!$G31), 1, 0)</f>
        <v>1</v>
      </c>
      <c r="AA15" s="3">
        <f>IF( AND(AA$3 &gt;= Вводные!$F31, AA$3 &lt;= Вводные!$G31), 1, 0)</f>
        <v>1</v>
      </c>
      <c r="AB15" s="3">
        <f>IF( AND(AB$3 &gt;= Вводные!$F31, AB$3 &lt;= Вводные!$G31), 1, 0)</f>
        <v>1</v>
      </c>
      <c r="AC15" s="3">
        <f>IF( AND(AC$3 &gt;= Вводные!$F31, AC$3 &lt;= Вводные!$G31), 1, 0)</f>
        <v>1</v>
      </c>
      <c r="AD15" s="3">
        <f>IF( AND(AD$3 &gt;= Вводные!$F31, AD$3 &lt;= Вводные!$G31), 1, 0)</f>
        <v>1</v>
      </c>
      <c r="AE15" s="3">
        <f>IF( AND(AE$3 &gt;= Вводные!$F31, AE$3 &lt;= Вводные!$G31), 1, 0)</f>
        <v>1</v>
      </c>
      <c r="AF15" s="3">
        <f>IF( AND(AF$3 &gt;= Вводные!$F31, AF$3 &lt;= Вводные!$G31), 1, 0)</f>
        <v>1</v>
      </c>
      <c r="AG15" s="3">
        <f>IF( AND(AG$3 &gt;= Вводные!$F31, AG$3 &lt;= Вводные!$G31), 1, 0)</f>
        <v>1</v>
      </c>
      <c r="AH15" s="3">
        <f>IF( AND(AH$3 &gt;= Вводные!$F31, AH$3 &lt;= Вводные!$G31), 1, 0)</f>
        <v>1</v>
      </c>
      <c r="AI15" s="3">
        <f>IF( AND(AI$3 &gt;= Вводные!$F31, AI$3 &lt;= Вводные!$G31), 1, 0)</f>
        <v>1</v>
      </c>
      <c r="AJ15" s="3">
        <f>IF( AND(AJ$3 &gt;= Вводные!$F31, AJ$3 &lt;= Вводные!$G31), 1, 0)</f>
        <v>1</v>
      </c>
      <c r="AK15" s="3">
        <f>IF( AND(AK$3 &gt;= Вводные!$F31, AK$3 &lt;= Вводные!$G31), 1, 0)</f>
        <v>1</v>
      </c>
      <c r="AL15" s="3">
        <f>IF( AND(AL$3 &gt;= Вводные!$F31, AL$3 &lt;= Вводные!$G31), 1, 0)</f>
        <v>1</v>
      </c>
      <c r="AM15" s="3">
        <f>IF( AND(AM$3 &gt;= Вводные!$F31, AM$3 &lt;= Вводные!$G31), 1, 0)</f>
        <v>1</v>
      </c>
      <c r="AN15" s="3">
        <f>IF( AND(AN$3 &gt;= Вводные!$F31, AN$3 &lt;= Вводные!$G31), 1, 0)</f>
        <v>1</v>
      </c>
      <c r="AO15" s="3">
        <f>IF( AND(AO$3 &gt;= Вводные!$F31, AO$3 &lt;= Вводные!$G31), 1, 0)</f>
        <v>1</v>
      </c>
      <c r="AP15" s="3">
        <f>IF( AND(AP$3 &gt;= Вводные!$F31, AP$3 &lt;= Вводные!$G31), 1, 0)</f>
        <v>1</v>
      </c>
      <c r="AQ15" s="3">
        <f>IF( AND(AQ$3 &gt;= Вводные!$F31, AQ$3 &lt;= Вводные!$G31), 1, 0)</f>
        <v>1</v>
      </c>
      <c r="AR15" s="3">
        <f>IF( AND(AR$3 &gt;= Вводные!$F31, AR$3 &lt;= Вводные!$G31), 1, 0)</f>
        <v>1</v>
      </c>
      <c r="AS15" s="3">
        <f>IF( AND(AS$3 &gt;= Вводные!$F31, AS$3 &lt;= Вводные!$G31), 1, 0)</f>
        <v>1</v>
      </c>
      <c r="AT15" s="3">
        <f>IF( AND(AT$3 &gt;= Вводные!$F31, AT$3 &lt;= Вводные!$G31), 1, 0)</f>
        <v>1</v>
      </c>
      <c r="AU15" s="3">
        <f>IF( AND(AU$3 &gt;= Вводные!$F31, AU$3 &lt;= Вводные!$G31), 1, 0)</f>
        <v>1</v>
      </c>
      <c r="AV15" s="3">
        <f>IF( AND(AV$3 &gt;= Вводные!$F31, AV$3 &lt;= Вводные!$G31), 1, 0)</f>
        <v>1</v>
      </c>
      <c r="AW15" s="3">
        <f>IF( AND(AW$3 &gt;= Вводные!$F31, AW$3 &lt;= Вводные!$G31), 1, 0)</f>
        <v>1</v>
      </c>
      <c r="AX15" s="3">
        <f>IF( AND(AX$3 &gt;= Вводные!$F31, AX$3 &lt;= Вводные!$G31), 1, 0)</f>
        <v>1</v>
      </c>
      <c r="AY15" s="3">
        <f>IF( AND(AY$3 &gt;= Вводные!$F31, AY$3 &lt;= Вводные!$G31), 1, 0)</f>
        <v>1</v>
      </c>
      <c r="AZ15" s="3">
        <f>IF( AND(AZ$3 &gt;= Вводные!$F31, AZ$3 &lt;= Вводные!$G31), 1, 0)</f>
        <v>1</v>
      </c>
      <c r="BA15" s="3">
        <f>IF( AND(BA$3 &gt;= Вводные!$F31, BA$3 &lt;= Вводные!$G31), 1, 0)</f>
        <v>1</v>
      </c>
      <c r="BB15" s="3">
        <f>IF( AND(BB$3 &gt;= Вводные!$F31, BB$3 &lt;= Вводные!$G31), 1, 0)</f>
        <v>1</v>
      </c>
      <c r="BC15" s="3">
        <f>IF( AND(BC$3 &gt;= Вводные!$F31, BC$3 &lt;= Вводные!$G31), 1, 0)</f>
        <v>1</v>
      </c>
      <c r="BD15" s="3">
        <f>IF( AND(BD$3 &gt;= Вводные!$F31, BD$3 &lt;= Вводные!$G31), 1, 0)</f>
        <v>1</v>
      </c>
      <c r="BE15" s="3">
        <f>IF( AND(BE$3 &gt;= Вводные!$F31, BE$3 &lt;= Вводные!$G31), 1, 0)</f>
        <v>1</v>
      </c>
      <c r="BF15" s="3">
        <f>IF( AND(BF$3 &gt;= Вводные!$F31, BF$3 &lt;= Вводные!$G31), 1, 0)</f>
        <v>1</v>
      </c>
      <c r="BG15" s="3">
        <f>IF( AND(BG$3 &gt;= Вводные!$F31, BG$3 &lt;= Вводные!$G31), 1, 0)</f>
        <v>1</v>
      </c>
      <c r="BH15" s="3">
        <f>IF( AND(BH$3 &gt;= Вводные!$F31, BH$3 &lt;= Вводные!$G31), 1, 0)</f>
        <v>1</v>
      </c>
      <c r="BI15" s="3">
        <f>IF( AND(BI$3 &gt;= Вводные!$F31, BI$3 &lt;= Вводные!$G31), 1, 0)</f>
        <v>1</v>
      </c>
      <c r="BJ15" s="3">
        <f>IF( AND(BJ$3 &gt;= Вводные!$F31, BJ$3 &lt;= Вводные!$G31), 1, 0)</f>
        <v>1</v>
      </c>
    </row>
    <row r="16" spans="2:62" x14ac:dyDescent="0.15">
      <c r="D16" s="11" t="str">
        <f>Вводные!$D$25</f>
        <v>Ежемесячный доход 4</v>
      </c>
      <c r="E16" s="12" t="s">
        <v>37</v>
      </c>
      <c r="J16" s="3">
        <f>IF( AND(J$3 &gt;= Вводные!$F32, J$3 &lt;= Вводные!$G32), 1, 0)</f>
        <v>0</v>
      </c>
      <c r="K16" s="3">
        <f>IF( AND(K$3 &gt;= Вводные!$F32, K$3 &lt;= Вводные!$G32), 1, 0)</f>
        <v>1</v>
      </c>
      <c r="L16" s="3">
        <f>IF( AND(L$3 &gt;= Вводные!$F32, L$3 &lt;= Вводные!$G32), 1, 0)</f>
        <v>1</v>
      </c>
      <c r="M16" s="3">
        <f>IF( AND(M$3 &gt;= Вводные!$F32, M$3 &lt;= Вводные!$G32), 1, 0)</f>
        <v>1</v>
      </c>
      <c r="N16" s="3">
        <f>IF( AND(N$3 &gt;= Вводные!$F32, N$3 &lt;= Вводные!$G32), 1, 0)</f>
        <v>1</v>
      </c>
      <c r="O16" s="3">
        <f>IF( AND(O$3 &gt;= Вводные!$F32, O$3 &lt;= Вводные!$G32), 1, 0)</f>
        <v>1</v>
      </c>
      <c r="P16" s="3">
        <f>IF( AND(P$3 &gt;= Вводные!$F32, P$3 &lt;= Вводные!$G32), 1, 0)</f>
        <v>1</v>
      </c>
      <c r="Q16" s="3">
        <f>IF( AND(Q$3 &gt;= Вводные!$F32, Q$3 &lt;= Вводные!$G32), 1, 0)</f>
        <v>1</v>
      </c>
      <c r="R16" s="3">
        <f>IF( AND(R$3 &gt;= Вводные!$F32, R$3 &lt;= Вводные!$G32), 1, 0)</f>
        <v>1</v>
      </c>
      <c r="S16" s="3">
        <f>IF( AND(S$3 &gt;= Вводные!$F32, S$3 &lt;= Вводные!$G32), 1, 0)</f>
        <v>1</v>
      </c>
      <c r="T16" s="3">
        <f>IF( AND(T$3 &gt;= Вводные!$F32, T$3 &lt;= Вводные!$G32), 1, 0)</f>
        <v>1</v>
      </c>
      <c r="U16" s="3">
        <f>IF( AND(U$3 &gt;= Вводные!$F32, U$3 &lt;= Вводные!$G32), 1, 0)</f>
        <v>1</v>
      </c>
      <c r="V16" s="3">
        <f>IF( AND(V$3 &gt;= Вводные!$F32, V$3 &lt;= Вводные!$G32), 1, 0)</f>
        <v>1</v>
      </c>
      <c r="W16" s="3">
        <f>IF( AND(W$3 &gt;= Вводные!$F32, W$3 &lt;= Вводные!$G32), 1, 0)</f>
        <v>1</v>
      </c>
      <c r="X16" s="3">
        <f>IF( AND(X$3 &gt;= Вводные!$F32, X$3 &lt;= Вводные!$G32), 1, 0)</f>
        <v>1</v>
      </c>
      <c r="Y16" s="3">
        <f>IF( AND(Y$3 &gt;= Вводные!$F32, Y$3 &lt;= Вводные!$G32), 1, 0)</f>
        <v>1</v>
      </c>
      <c r="Z16" s="3">
        <f>IF( AND(Z$3 &gt;= Вводные!$F32, Z$3 &lt;= Вводные!$G32), 1, 0)</f>
        <v>1</v>
      </c>
      <c r="AA16" s="3">
        <f>IF( AND(AA$3 &gt;= Вводные!$F32, AA$3 &lt;= Вводные!$G32), 1, 0)</f>
        <v>1</v>
      </c>
      <c r="AB16" s="3">
        <f>IF( AND(AB$3 &gt;= Вводные!$F32, AB$3 &lt;= Вводные!$G32), 1, 0)</f>
        <v>1</v>
      </c>
      <c r="AC16" s="3">
        <f>IF( AND(AC$3 &gt;= Вводные!$F32, AC$3 &lt;= Вводные!$G32), 1, 0)</f>
        <v>1</v>
      </c>
      <c r="AD16" s="3">
        <f>IF( AND(AD$3 &gt;= Вводные!$F32, AD$3 &lt;= Вводные!$G32), 1, 0)</f>
        <v>1</v>
      </c>
      <c r="AE16" s="3">
        <f>IF( AND(AE$3 &gt;= Вводные!$F32, AE$3 &lt;= Вводные!$G32), 1, 0)</f>
        <v>1</v>
      </c>
      <c r="AF16" s="3">
        <f>IF( AND(AF$3 &gt;= Вводные!$F32, AF$3 &lt;= Вводные!$G32), 1, 0)</f>
        <v>1</v>
      </c>
      <c r="AG16" s="3">
        <f>IF( AND(AG$3 &gt;= Вводные!$F32, AG$3 &lt;= Вводные!$G32), 1, 0)</f>
        <v>1</v>
      </c>
      <c r="AH16" s="3">
        <f>IF( AND(AH$3 &gt;= Вводные!$F32, AH$3 &lt;= Вводные!$G32), 1, 0)</f>
        <v>1</v>
      </c>
      <c r="AI16" s="3">
        <f>IF( AND(AI$3 &gt;= Вводные!$F32, AI$3 &lt;= Вводные!$G32), 1, 0)</f>
        <v>1</v>
      </c>
      <c r="AJ16" s="3">
        <f>IF( AND(AJ$3 &gt;= Вводные!$F32, AJ$3 &lt;= Вводные!$G32), 1, 0)</f>
        <v>1</v>
      </c>
      <c r="AK16" s="3">
        <f>IF( AND(AK$3 &gt;= Вводные!$F32, AK$3 &lt;= Вводные!$G32), 1, 0)</f>
        <v>1</v>
      </c>
      <c r="AL16" s="3">
        <f>IF( AND(AL$3 &gt;= Вводные!$F32, AL$3 &lt;= Вводные!$G32), 1, 0)</f>
        <v>1</v>
      </c>
      <c r="AM16" s="3">
        <f>IF( AND(AM$3 &gt;= Вводные!$F32, AM$3 &lt;= Вводные!$G32), 1, 0)</f>
        <v>1</v>
      </c>
      <c r="AN16" s="3">
        <f>IF( AND(AN$3 &gt;= Вводные!$F32, AN$3 &lt;= Вводные!$G32), 1, 0)</f>
        <v>1</v>
      </c>
      <c r="AO16" s="3">
        <f>IF( AND(AO$3 &gt;= Вводные!$F32, AO$3 &lt;= Вводные!$G32), 1, 0)</f>
        <v>1</v>
      </c>
      <c r="AP16" s="3">
        <f>IF( AND(AP$3 &gt;= Вводные!$F32, AP$3 &lt;= Вводные!$G32), 1, 0)</f>
        <v>1</v>
      </c>
      <c r="AQ16" s="3">
        <f>IF( AND(AQ$3 &gt;= Вводные!$F32, AQ$3 &lt;= Вводные!$G32), 1, 0)</f>
        <v>1</v>
      </c>
      <c r="AR16" s="3">
        <f>IF( AND(AR$3 &gt;= Вводные!$F32, AR$3 &lt;= Вводные!$G32), 1, 0)</f>
        <v>1</v>
      </c>
      <c r="AS16" s="3">
        <f>IF( AND(AS$3 &gt;= Вводные!$F32, AS$3 &lt;= Вводные!$G32), 1, 0)</f>
        <v>1</v>
      </c>
      <c r="AT16" s="3">
        <f>IF( AND(AT$3 &gt;= Вводные!$F32, AT$3 &lt;= Вводные!$G32), 1, 0)</f>
        <v>1</v>
      </c>
      <c r="AU16" s="3">
        <f>IF( AND(AU$3 &gt;= Вводные!$F32, AU$3 &lt;= Вводные!$G32), 1, 0)</f>
        <v>1</v>
      </c>
      <c r="AV16" s="3">
        <f>IF( AND(AV$3 &gt;= Вводные!$F32, AV$3 &lt;= Вводные!$G32), 1, 0)</f>
        <v>1</v>
      </c>
      <c r="AW16" s="3">
        <f>IF( AND(AW$3 &gt;= Вводные!$F32, AW$3 &lt;= Вводные!$G32), 1, 0)</f>
        <v>1</v>
      </c>
      <c r="AX16" s="3">
        <f>IF( AND(AX$3 &gt;= Вводные!$F32, AX$3 &lt;= Вводные!$G32), 1, 0)</f>
        <v>1</v>
      </c>
      <c r="AY16" s="3">
        <f>IF( AND(AY$3 &gt;= Вводные!$F32, AY$3 &lt;= Вводные!$G32), 1, 0)</f>
        <v>1</v>
      </c>
      <c r="AZ16" s="3">
        <f>IF( AND(AZ$3 &gt;= Вводные!$F32, AZ$3 &lt;= Вводные!$G32), 1, 0)</f>
        <v>1</v>
      </c>
      <c r="BA16" s="3">
        <f>IF( AND(BA$3 &gt;= Вводные!$F32, BA$3 &lt;= Вводные!$G32), 1, 0)</f>
        <v>1</v>
      </c>
      <c r="BB16" s="3">
        <f>IF( AND(BB$3 &gt;= Вводные!$F32, BB$3 &lt;= Вводные!$G32), 1, 0)</f>
        <v>1</v>
      </c>
      <c r="BC16" s="3">
        <f>IF( AND(BC$3 &gt;= Вводные!$F32, BC$3 &lt;= Вводные!$G32), 1, 0)</f>
        <v>1</v>
      </c>
      <c r="BD16" s="3">
        <f>IF( AND(BD$3 &gt;= Вводные!$F32, BD$3 &lt;= Вводные!$G32), 1, 0)</f>
        <v>1</v>
      </c>
      <c r="BE16" s="3">
        <f>IF( AND(BE$3 &gt;= Вводные!$F32, BE$3 &lt;= Вводные!$G32), 1, 0)</f>
        <v>1</v>
      </c>
      <c r="BF16" s="3">
        <f>IF( AND(BF$3 &gt;= Вводные!$F32, BF$3 &lt;= Вводные!$G32), 1, 0)</f>
        <v>1</v>
      </c>
      <c r="BG16" s="3">
        <f>IF( AND(BG$3 &gt;= Вводные!$F32, BG$3 &lt;= Вводные!$G32), 1, 0)</f>
        <v>1</v>
      </c>
      <c r="BH16" s="3">
        <f>IF( AND(BH$3 &gt;= Вводные!$F32, BH$3 &lt;= Вводные!$G32), 1, 0)</f>
        <v>1</v>
      </c>
      <c r="BI16" s="3">
        <f>IF( AND(BI$3 &gt;= Вводные!$F32, BI$3 &lt;= Вводные!$G32), 1, 0)</f>
        <v>1</v>
      </c>
      <c r="BJ16" s="3">
        <f>IF( AND(BJ$3 &gt;= Вводные!$F32, BJ$3 &lt;= Вводные!$G32), 1, 0)</f>
        <v>1</v>
      </c>
    </row>
    <row r="17" spans="2:62" x14ac:dyDescent="0.15">
      <c r="D17" s="11" t="str">
        <f>Вводные!$D$26</f>
        <v>Ежемесячный доход 5</v>
      </c>
      <c r="E17" s="12" t="s">
        <v>37</v>
      </c>
      <c r="J17" s="3">
        <f>IF( AND(J$3 &gt;= Вводные!$F33, J$3 &lt;= Вводные!$G33), 1, 0)</f>
        <v>1</v>
      </c>
      <c r="K17" s="3">
        <f>IF( AND(K$3 &gt;= Вводные!$F33, K$3 &lt;= Вводные!$G33), 1, 0)</f>
        <v>1</v>
      </c>
      <c r="L17" s="3">
        <f>IF( AND(L$3 &gt;= Вводные!$F33, L$3 &lt;= Вводные!$G33), 1, 0)</f>
        <v>1</v>
      </c>
      <c r="M17" s="3">
        <f>IF( AND(M$3 &gt;= Вводные!$F33, M$3 &lt;= Вводные!$G33), 1, 0)</f>
        <v>1</v>
      </c>
      <c r="N17" s="3">
        <f>IF( AND(N$3 &gt;= Вводные!$F33, N$3 &lt;= Вводные!$G33), 1, 0)</f>
        <v>1</v>
      </c>
      <c r="O17" s="3">
        <f>IF( AND(O$3 &gt;= Вводные!$F33, O$3 &lt;= Вводные!$G33), 1, 0)</f>
        <v>1</v>
      </c>
      <c r="P17" s="3">
        <f>IF( AND(P$3 &gt;= Вводные!$F33, P$3 &lt;= Вводные!$G33), 1, 0)</f>
        <v>1</v>
      </c>
      <c r="Q17" s="3">
        <f>IF( AND(Q$3 &gt;= Вводные!$F33, Q$3 &lt;= Вводные!$G33), 1, 0)</f>
        <v>1</v>
      </c>
      <c r="R17" s="3">
        <f>IF( AND(R$3 &gt;= Вводные!$F33, R$3 &lt;= Вводные!$G33), 1, 0)</f>
        <v>1</v>
      </c>
      <c r="S17" s="3">
        <f>IF( AND(S$3 &gt;= Вводные!$F33, S$3 &lt;= Вводные!$G33), 1, 0)</f>
        <v>1</v>
      </c>
      <c r="T17" s="3">
        <f>IF( AND(T$3 &gt;= Вводные!$F33, T$3 &lt;= Вводные!$G33), 1, 0)</f>
        <v>1</v>
      </c>
      <c r="U17" s="3">
        <f>IF( AND(U$3 &gt;= Вводные!$F33, U$3 &lt;= Вводные!$G33), 1, 0)</f>
        <v>1</v>
      </c>
      <c r="V17" s="3">
        <f>IF( AND(V$3 &gt;= Вводные!$F33, V$3 &lt;= Вводные!$G33), 1, 0)</f>
        <v>1</v>
      </c>
      <c r="W17" s="3">
        <f>IF( AND(W$3 &gt;= Вводные!$F33, W$3 &lt;= Вводные!$G33), 1, 0)</f>
        <v>1</v>
      </c>
      <c r="X17" s="3">
        <f>IF( AND(X$3 &gt;= Вводные!$F33, X$3 &lt;= Вводные!$G33), 1, 0)</f>
        <v>1</v>
      </c>
      <c r="Y17" s="3">
        <f>IF( AND(Y$3 &gt;= Вводные!$F33, Y$3 &lt;= Вводные!$G33), 1, 0)</f>
        <v>1</v>
      </c>
      <c r="Z17" s="3">
        <f>IF( AND(Z$3 &gt;= Вводные!$F33, Z$3 &lt;= Вводные!$G33), 1, 0)</f>
        <v>1</v>
      </c>
      <c r="AA17" s="3">
        <f>IF( AND(AA$3 &gt;= Вводные!$F33, AA$3 &lt;= Вводные!$G33), 1, 0)</f>
        <v>1</v>
      </c>
      <c r="AB17" s="3">
        <f>IF( AND(AB$3 &gt;= Вводные!$F33, AB$3 &lt;= Вводные!$G33), 1, 0)</f>
        <v>1</v>
      </c>
      <c r="AC17" s="3">
        <f>IF( AND(AC$3 &gt;= Вводные!$F33, AC$3 &lt;= Вводные!$G33), 1, 0)</f>
        <v>1</v>
      </c>
      <c r="AD17" s="3">
        <f>IF( AND(AD$3 &gt;= Вводные!$F33, AD$3 &lt;= Вводные!$G33), 1, 0)</f>
        <v>1</v>
      </c>
      <c r="AE17" s="3">
        <f>IF( AND(AE$3 &gt;= Вводные!$F33, AE$3 &lt;= Вводные!$G33), 1, 0)</f>
        <v>1</v>
      </c>
      <c r="AF17" s="3">
        <f>IF( AND(AF$3 &gt;= Вводные!$F33, AF$3 &lt;= Вводные!$G33), 1, 0)</f>
        <v>1</v>
      </c>
      <c r="AG17" s="3">
        <f>IF( AND(AG$3 &gt;= Вводные!$F33, AG$3 &lt;= Вводные!$G33), 1, 0)</f>
        <v>1</v>
      </c>
      <c r="AH17" s="3">
        <f>IF( AND(AH$3 &gt;= Вводные!$F33, AH$3 &lt;= Вводные!$G33), 1, 0)</f>
        <v>1</v>
      </c>
      <c r="AI17" s="3">
        <f>IF( AND(AI$3 &gt;= Вводные!$F33, AI$3 &lt;= Вводные!$G33), 1, 0)</f>
        <v>1</v>
      </c>
      <c r="AJ17" s="3">
        <f>IF( AND(AJ$3 &gt;= Вводные!$F33, AJ$3 &lt;= Вводные!$G33), 1, 0)</f>
        <v>1</v>
      </c>
      <c r="AK17" s="3">
        <f>IF( AND(AK$3 &gt;= Вводные!$F33, AK$3 &lt;= Вводные!$G33), 1, 0)</f>
        <v>1</v>
      </c>
      <c r="AL17" s="3">
        <f>IF( AND(AL$3 &gt;= Вводные!$F33, AL$3 &lt;= Вводные!$G33), 1, 0)</f>
        <v>1</v>
      </c>
      <c r="AM17" s="3">
        <f>IF( AND(AM$3 &gt;= Вводные!$F33, AM$3 &lt;= Вводные!$G33), 1, 0)</f>
        <v>1</v>
      </c>
      <c r="AN17" s="3">
        <f>IF( AND(AN$3 &gt;= Вводные!$F33, AN$3 &lt;= Вводные!$G33), 1, 0)</f>
        <v>1</v>
      </c>
      <c r="AO17" s="3">
        <f>IF( AND(AO$3 &gt;= Вводные!$F33, AO$3 &lt;= Вводные!$G33), 1, 0)</f>
        <v>1</v>
      </c>
      <c r="AP17" s="3">
        <f>IF( AND(AP$3 &gt;= Вводные!$F33, AP$3 &lt;= Вводные!$G33), 1, 0)</f>
        <v>1</v>
      </c>
      <c r="AQ17" s="3">
        <f>IF( AND(AQ$3 &gt;= Вводные!$F33, AQ$3 &lt;= Вводные!$G33), 1, 0)</f>
        <v>1</v>
      </c>
      <c r="AR17" s="3">
        <f>IF( AND(AR$3 &gt;= Вводные!$F33, AR$3 &lt;= Вводные!$G33), 1, 0)</f>
        <v>1</v>
      </c>
      <c r="AS17" s="3">
        <f>IF( AND(AS$3 &gt;= Вводные!$F33, AS$3 &lt;= Вводные!$G33), 1, 0)</f>
        <v>1</v>
      </c>
      <c r="AT17" s="3">
        <f>IF( AND(AT$3 &gt;= Вводные!$F33, AT$3 &lt;= Вводные!$G33), 1, 0)</f>
        <v>1</v>
      </c>
      <c r="AU17" s="3">
        <f>IF( AND(AU$3 &gt;= Вводные!$F33, AU$3 &lt;= Вводные!$G33), 1, 0)</f>
        <v>1</v>
      </c>
      <c r="AV17" s="3">
        <f>IF( AND(AV$3 &gt;= Вводные!$F33, AV$3 &lt;= Вводные!$G33), 1, 0)</f>
        <v>1</v>
      </c>
      <c r="AW17" s="3">
        <f>IF( AND(AW$3 &gt;= Вводные!$F33, AW$3 &lt;= Вводные!$G33), 1, 0)</f>
        <v>1</v>
      </c>
      <c r="AX17" s="3">
        <f>IF( AND(AX$3 &gt;= Вводные!$F33, AX$3 &lt;= Вводные!$G33), 1, 0)</f>
        <v>1</v>
      </c>
      <c r="AY17" s="3">
        <f>IF( AND(AY$3 &gt;= Вводные!$F33, AY$3 &lt;= Вводные!$G33), 1, 0)</f>
        <v>1</v>
      </c>
      <c r="AZ17" s="3">
        <f>IF( AND(AZ$3 &gt;= Вводные!$F33, AZ$3 &lt;= Вводные!$G33), 1, 0)</f>
        <v>1</v>
      </c>
      <c r="BA17" s="3">
        <f>IF( AND(BA$3 &gt;= Вводные!$F33, BA$3 &lt;= Вводные!$G33), 1, 0)</f>
        <v>1</v>
      </c>
      <c r="BB17" s="3">
        <f>IF( AND(BB$3 &gt;= Вводные!$F33, BB$3 &lt;= Вводные!$G33), 1, 0)</f>
        <v>1</v>
      </c>
      <c r="BC17" s="3">
        <f>IF( AND(BC$3 &gt;= Вводные!$F33, BC$3 &lt;= Вводные!$G33), 1, 0)</f>
        <v>1</v>
      </c>
      <c r="BD17" s="3">
        <f>IF( AND(BD$3 &gt;= Вводные!$F33, BD$3 &lt;= Вводные!$G33), 1, 0)</f>
        <v>1</v>
      </c>
      <c r="BE17" s="3">
        <f>IF( AND(BE$3 &gt;= Вводные!$F33, BE$3 &lt;= Вводные!$G33), 1, 0)</f>
        <v>1</v>
      </c>
      <c r="BF17" s="3">
        <f>IF( AND(BF$3 &gt;= Вводные!$F33, BF$3 &lt;= Вводные!$G33), 1, 0)</f>
        <v>1</v>
      </c>
      <c r="BG17" s="3">
        <f>IF( AND(BG$3 &gt;= Вводные!$F33, BG$3 &lt;= Вводные!$G33), 1, 0)</f>
        <v>1</v>
      </c>
      <c r="BH17" s="3">
        <f>IF( AND(BH$3 &gt;= Вводные!$F33, BH$3 &lt;= Вводные!$G33), 1, 0)</f>
        <v>1</v>
      </c>
      <c r="BI17" s="3">
        <f>IF( AND(BI$3 &gt;= Вводные!$F33, BI$3 &lt;= Вводные!$G33), 1, 0)</f>
        <v>1</v>
      </c>
      <c r="BJ17" s="3">
        <f>IF( AND(BJ$3 &gt;= Вводные!$F33, BJ$3 &lt;= Вводные!$G33), 1, 0)</f>
        <v>1</v>
      </c>
    </row>
    <row r="19" spans="2:62" x14ac:dyDescent="0.15">
      <c r="D19" s="8" t="s">
        <v>7</v>
      </c>
      <c r="E19" s="15"/>
    </row>
    <row r="20" spans="2:62" x14ac:dyDescent="0.15">
      <c r="D20" s="11" t="str">
        <f>Вводные!$D$45</f>
        <v>Ежегодный доход 1</v>
      </c>
      <c r="E20" s="12" t="s">
        <v>37</v>
      </c>
      <c r="J20" s="3">
        <f>IF( AND(J$3 &gt;= Вводные!$F52, J$3 &lt;= Вводные!$G52), 1, 0)</f>
        <v>1</v>
      </c>
      <c r="K20" s="3">
        <f>IF( AND(K$3 &gt;= Вводные!$F52, K$3 &lt;= Вводные!$G52), 1, 0)</f>
        <v>1</v>
      </c>
      <c r="L20" s="3">
        <f>IF( AND(L$3 &gt;= Вводные!$F52, L$3 &lt;= Вводные!$G52), 1, 0)</f>
        <v>1</v>
      </c>
      <c r="M20" s="3">
        <f>IF( AND(M$3 &gt;= Вводные!$F52, M$3 &lt;= Вводные!$G52), 1, 0)</f>
        <v>1</v>
      </c>
      <c r="N20" s="3">
        <f>IF( AND(N$3 &gt;= Вводные!$F52, N$3 &lt;= Вводные!$G52), 1, 0)</f>
        <v>1</v>
      </c>
      <c r="O20" s="3">
        <f>IF( AND(O$3 &gt;= Вводные!$F52, O$3 &lt;= Вводные!$G52), 1, 0)</f>
        <v>1</v>
      </c>
      <c r="P20" s="3">
        <f>IF( AND(P$3 &gt;= Вводные!$F52, P$3 &lt;= Вводные!$G52), 1, 0)</f>
        <v>1</v>
      </c>
      <c r="Q20" s="3">
        <f>IF( AND(Q$3 &gt;= Вводные!$F52, Q$3 &lt;= Вводные!$G52), 1, 0)</f>
        <v>1</v>
      </c>
      <c r="R20" s="3">
        <f>IF( AND(R$3 &gt;= Вводные!$F52, R$3 &lt;= Вводные!$G52), 1, 0)</f>
        <v>1</v>
      </c>
      <c r="S20" s="3">
        <f>IF( AND(S$3 &gt;= Вводные!$F52, S$3 &lt;= Вводные!$G52), 1, 0)</f>
        <v>1</v>
      </c>
      <c r="T20" s="3">
        <f>IF( AND(T$3 &gt;= Вводные!$F52, T$3 &lt;= Вводные!$G52), 1, 0)</f>
        <v>1</v>
      </c>
      <c r="U20" s="3">
        <f>IF( AND(U$3 &gt;= Вводные!$F52, U$3 &lt;= Вводные!$G52), 1, 0)</f>
        <v>1</v>
      </c>
      <c r="V20" s="3">
        <f>IF( AND(V$3 &gt;= Вводные!$F52, V$3 &lt;= Вводные!$G52), 1, 0)</f>
        <v>1</v>
      </c>
      <c r="W20" s="3">
        <f>IF( AND(W$3 &gt;= Вводные!$F52, W$3 &lt;= Вводные!$G52), 1, 0)</f>
        <v>1</v>
      </c>
      <c r="X20" s="3">
        <f>IF( AND(X$3 &gt;= Вводные!$F52, X$3 &lt;= Вводные!$G52), 1, 0)</f>
        <v>1</v>
      </c>
      <c r="Y20" s="3">
        <f>IF( AND(Y$3 &gt;= Вводные!$F52, Y$3 &lt;= Вводные!$G52), 1, 0)</f>
        <v>1</v>
      </c>
      <c r="Z20" s="3">
        <f>IF( AND(Z$3 &gt;= Вводные!$F52, Z$3 &lt;= Вводные!$G52), 1, 0)</f>
        <v>1</v>
      </c>
      <c r="AA20" s="3">
        <f>IF( AND(AA$3 &gt;= Вводные!$F52, AA$3 &lt;= Вводные!$G52), 1, 0)</f>
        <v>1</v>
      </c>
      <c r="AB20" s="3">
        <f>IF( AND(AB$3 &gt;= Вводные!$F52, AB$3 &lt;= Вводные!$G52), 1, 0)</f>
        <v>1</v>
      </c>
      <c r="AC20" s="3">
        <f>IF( AND(AC$3 &gt;= Вводные!$F52, AC$3 &lt;= Вводные!$G52), 1, 0)</f>
        <v>1</v>
      </c>
      <c r="AD20" s="3">
        <f>IF( AND(AD$3 &gt;= Вводные!$F52, AD$3 &lt;= Вводные!$G52), 1, 0)</f>
        <v>1</v>
      </c>
      <c r="AE20" s="3">
        <f>IF( AND(AE$3 &gt;= Вводные!$F52, AE$3 &lt;= Вводные!$G52), 1, 0)</f>
        <v>1</v>
      </c>
      <c r="AF20" s="3">
        <f>IF( AND(AF$3 &gt;= Вводные!$F52, AF$3 &lt;= Вводные!$G52), 1, 0)</f>
        <v>1</v>
      </c>
      <c r="AG20" s="3">
        <f>IF( AND(AG$3 &gt;= Вводные!$F52, AG$3 &lt;= Вводные!$G52), 1, 0)</f>
        <v>1</v>
      </c>
      <c r="AH20" s="3">
        <f>IF( AND(AH$3 &gt;= Вводные!$F52, AH$3 &lt;= Вводные!$G52), 1, 0)</f>
        <v>1</v>
      </c>
      <c r="AI20" s="3">
        <f>IF( AND(AI$3 &gt;= Вводные!$F52, AI$3 &lt;= Вводные!$G52), 1, 0)</f>
        <v>1</v>
      </c>
      <c r="AJ20" s="3">
        <f>IF( AND(AJ$3 &gt;= Вводные!$F52, AJ$3 &lt;= Вводные!$G52), 1, 0)</f>
        <v>1</v>
      </c>
      <c r="AK20" s="3">
        <f>IF( AND(AK$3 &gt;= Вводные!$F52, AK$3 &lt;= Вводные!$G52), 1, 0)</f>
        <v>1</v>
      </c>
      <c r="AL20" s="3">
        <f>IF( AND(AL$3 &gt;= Вводные!$F52, AL$3 &lt;= Вводные!$G52), 1, 0)</f>
        <v>1</v>
      </c>
      <c r="AM20" s="3">
        <f>IF( AND(AM$3 &gt;= Вводные!$F52, AM$3 &lt;= Вводные!$G52), 1, 0)</f>
        <v>1</v>
      </c>
      <c r="AN20" s="3">
        <f>IF( AND(AN$3 &gt;= Вводные!$F52, AN$3 &lt;= Вводные!$G52), 1, 0)</f>
        <v>1</v>
      </c>
      <c r="AO20" s="3">
        <f>IF( AND(AO$3 &gt;= Вводные!$F52, AO$3 &lt;= Вводные!$G52), 1, 0)</f>
        <v>1</v>
      </c>
      <c r="AP20" s="3">
        <f>IF( AND(AP$3 &gt;= Вводные!$F52, AP$3 &lt;= Вводные!$G52), 1, 0)</f>
        <v>1</v>
      </c>
      <c r="AQ20" s="3">
        <f>IF( AND(AQ$3 &gt;= Вводные!$F52, AQ$3 &lt;= Вводные!$G52), 1, 0)</f>
        <v>1</v>
      </c>
      <c r="AR20" s="3">
        <f>IF( AND(AR$3 &gt;= Вводные!$F52, AR$3 &lt;= Вводные!$G52), 1, 0)</f>
        <v>1</v>
      </c>
      <c r="AS20" s="3">
        <f>IF( AND(AS$3 &gt;= Вводные!$F52, AS$3 &lt;= Вводные!$G52), 1, 0)</f>
        <v>1</v>
      </c>
      <c r="AT20" s="3">
        <f>IF( AND(AT$3 &gt;= Вводные!$F52, AT$3 &lt;= Вводные!$G52), 1, 0)</f>
        <v>1</v>
      </c>
      <c r="AU20" s="3">
        <f>IF( AND(AU$3 &gt;= Вводные!$F52, AU$3 &lt;= Вводные!$G52), 1, 0)</f>
        <v>1</v>
      </c>
      <c r="AV20" s="3">
        <f>IF( AND(AV$3 &gt;= Вводные!$F52, AV$3 &lt;= Вводные!$G52), 1, 0)</f>
        <v>1</v>
      </c>
      <c r="AW20" s="3">
        <f>IF( AND(AW$3 &gt;= Вводные!$F52, AW$3 &lt;= Вводные!$G52), 1, 0)</f>
        <v>1</v>
      </c>
      <c r="AX20" s="3">
        <f>IF( AND(AX$3 &gt;= Вводные!$F52, AX$3 &lt;= Вводные!$G52), 1, 0)</f>
        <v>1</v>
      </c>
      <c r="AY20" s="3">
        <f>IF( AND(AY$3 &gt;= Вводные!$F52, AY$3 &lt;= Вводные!$G52), 1, 0)</f>
        <v>1</v>
      </c>
      <c r="AZ20" s="3">
        <f>IF( AND(AZ$3 &gt;= Вводные!$F52, AZ$3 &lt;= Вводные!$G52), 1, 0)</f>
        <v>1</v>
      </c>
      <c r="BA20" s="3">
        <f>IF( AND(BA$3 &gt;= Вводные!$F52, BA$3 &lt;= Вводные!$G52), 1, 0)</f>
        <v>1</v>
      </c>
      <c r="BB20" s="3">
        <f>IF( AND(BB$3 &gt;= Вводные!$F52, BB$3 &lt;= Вводные!$G52), 1, 0)</f>
        <v>1</v>
      </c>
      <c r="BC20" s="3">
        <f>IF( AND(BC$3 &gt;= Вводные!$F52, BC$3 &lt;= Вводные!$G52), 1, 0)</f>
        <v>1</v>
      </c>
      <c r="BD20" s="3">
        <f>IF( AND(BD$3 &gt;= Вводные!$F52, BD$3 &lt;= Вводные!$G52), 1, 0)</f>
        <v>1</v>
      </c>
      <c r="BE20" s="3">
        <f>IF( AND(BE$3 &gt;= Вводные!$F52, BE$3 &lt;= Вводные!$G52), 1, 0)</f>
        <v>1</v>
      </c>
      <c r="BF20" s="3">
        <f>IF( AND(BF$3 &gt;= Вводные!$F52, BF$3 &lt;= Вводные!$G52), 1, 0)</f>
        <v>1</v>
      </c>
      <c r="BG20" s="3">
        <f>IF( AND(BG$3 &gt;= Вводные!$F52, BG$3 &lt;= Вводные!$G52), 1, 0)</f>
        <v>1</v>
      </c>
      <c r="BH20" s="3">
        <f>IF( AND(BH$3 &gt;= Вводные!$F52, BH$3 &lt;= Вводные!$G52), 1, 0)</f>
        <v>1</v>
      </c>
      <c r="BI20" s="3">
        <f>IF( AND(BI$3 &gt;= Вводные!$F52, BI$3 &lt;= Вводные!$G52), 1, 0)</f>
        <v>1</v>
      </c>
      <c r="BJ20" s="3">
        <f>IF( AND(BJ$3 &gt;= Вводные!$F52, BJ$3 &lt;= Вводные!$G52), 1, 0)</f>
        <v>1</v>
      </c>
    </row>
    <row r="21" spans="2:62" x14ac:dyDescent="0.15">
      <c r="D21" s="11" t="str">
        <f>Вводные!$D$46</f>
        <v>Ежегодный доход 2</v>
      </c>
      <c r="E21" s="12" t="s">
        <v>37</v>
      </c>
      <c r="J21" s="3">
        <f>IF( AND(J$3 &gt;= Вводные!$F53, J$3 &lt;= Вводные!$G53), 1, 0)</f>
        <v>1</v>
      </c>
      <c r="K21" s="3">
        <f>IF( AND(K$3 &gt;= Вводные!$F53, K$3 &lt;= Вводные!$G53), 1, 0)</f>
        <v>1</v>
      </c>
      <c r="L21" s="3">
        <f>IF( AND(L$3 &gt;= Вводные!$F53, L$3 &lt;= Вводные!$G53), 1, 0)</f>
        <v>1</v>
      </c>
      <c r="M21" s="3">
        <f>IF( AND(M$3 &gt;= Вводные!$F53, M$3 &lt;= Вводные!$G53), 1, 0)</f>
        <v>1</v>
      </c>
      <c r="N21" s="3">
        <f>IF( AND(N$3 &gt;= Вводные!$F53, N$3 &lt;= Вводные!$G53), 1, 0)</f>
        <v>1</v>
      </c>
      <c r="O21" s="3">
        <f>IF( AND(O$3 &gt;= Вводные!$F53, O$3 &lt;= Вводные!$G53), 1, 0)</f>
        <v>1</v>
      </c>
      <c r="P21" s="3">
        <f>IF( AND(P$3 &gt;= Вводные!$F53, P$3 &lt;= Вводные!$G53), 1, 0)</f>
        <v>1</v>
      </c>
      <c r="Q21" s="3">
        <f>IF( AND(Q$3 &gt;= Вводные!$F53, Q$3 &lt;= Вводные!$G53), 1, 0)</f>
        <v>1</v>
      </c>
      <c r="R21" s="3">
        <f>IF( AND(R$3 &gt;= Вводные!$F53, R$3 &lt;= Вводные!$G53), 1, 0)</f>
        <v>1</v>
      </c>
      <c r="S21" s="3">
        <f>IF( AND(S$3 &gt;= Вводные!$F53, S$3 &lt;= Вводные!$G53), 1, 0)</f>
        <v>1</v>
      </c>
      <c r="T21" s="3">
        <f>IF( AND(T$3 &gt;= Вводные!$F53, T$3 &lt;= Вводные!$G53), 1, 0)</f>
        <v>1</v>
      </c>
      <c r="U21" s="3">
        <f>IF( AND(U$3 &gt;= Вводные!$F53, U$3 &lt;= Вводные!$G53), 1, 0)</f>
        <v>1</v>
      </c>
      <c r="V21" s="3">
        <f>IF( AND(V$3 &gt;= Вводные!$F53, V$3 &lt;= Вводные!$G53), 1, 0)</f>
        <v>1</v>
      </c>
      <c r="W21" s="3">
        <f>IF( AND(W$3 &gt;= Вводные!$F53, W$3 &lt;= Вводные!$G53), 1, 0)</f>
        <v>1</v>
      </c>
      <c r="X21" s="3">
        <f>IF( AND(X$3 &gt;= Вводные!$F53, X$3 &lt;= Вводные!$G53), 1, 0)</f>
        <v>1</v>
      </c>
      <c r="Y21" s="3">
        <f>IF( AND(Y$3 &gt;= Вводные!$F53, Y$3 &lt;= Вводные!$G53), 1, 0)</f>
        <v>1</v>
      </c>
      <c r="Z21" s="3">
        <f>IF( AND(Z$3 &gt;= Вводные!$F53, Z$3 &lt;= Вводные!$G53), 1, 0)</f>
        <v>1</v>
      </c>
      <c r="AA21" s="3">
        <f>IF( AND(AA$3 &gt;= Вводные!$F53, AA$3 &lt;= Вводные!$G53), 1, 0)</f>
        <v>1</v>
      </c>
      <c r="AB21" s="3">
        <f>IF( AND(AB$3 &gt;= Вводные!$F53, AB$3 &lt;= Вводные!$G53), 1, 0)</f>
        <v>1</v>
      </c>
      <c r="AC21" s="3">
        <f>IF( AND(AC$3 &gt;= Вводные!$F53, AC$3 &lt;= Вводные!$G53), 1, 0)</f>
        <v>1</v>
      </c>
      <c r="AD21" s="3">
        <f>IF( AND(AD$3 &gt;= Вводные!$F53, AD$3 &lt;= Вводные!$G53), 1, 0)</f>
        <v>1</v>
      </c>
      <c r="AE21" s="3">
        <f>IF( AND(AE$3 &gt;= Вводные!$F53, AE$3 &lt;= Вводные!$G53), 1, 0)</f>
        <v>1</v>
      </c>
      <c r="AF21" s="3">
        <f>IF( AND(AF$3 &gt;= Вводные!$F53, AF$3 &lt;= Вводные!$G53), 1, 0)</f>
        <v>1</v>
      </c>
      <c r="AG21" s="3">
        <f>IF( AND(AG$3 &gt;= Вводные!$F53, AG$3 &lt;= Вводные!$G53), 1, 0)</f>
        <v>1</v>
      </c>
      <c r="AH21" s="3">
        <f>IF( AND(AH$3 &gt;= Вводные!$F53, AH$3 &lt;= Вводные!$G53), 1, 0)</f>
        <v>1</v>
      </c>
      <c r="AI21" s="3">
        <f>IF( AND(AI$3 &gt;= Вводные!$F53, AI$3 &lt;= Вводные!$G53), 1, 0)</f>
        <v>1</v>
      </c>
      <c r="AJ21" s="3">
        <f>IF( AND(AJ$3 &gt;= Вводные!$F53, AJ$3 &lt;= Вводные!$G53), 1, 0)</f>
        <v>1</v>
      </c>
      <c r="AK21" s="3">
        <f>IF( AND(AK$3 &gt;= Вводные!$F53, AK$3 &lt;= Вводные!$G53), 1, 0)</f>
        <v>1</v>
      </c>
      <c r="AL21" s="3">
        <f>IF( AND(AL$3 &gt;= Вводные!$F53, AL$3 &lt;= Вводные!$G53), 1, 0)</f>
        <v>1</v>
      </c>
      <c r="AM21" s="3">
        <f>IF( AND(AM$3 &gt;= Вводные!$F53, AM$3 &lt;= Вводные!$G53), 1, 0)</f>
        <v>1</v>
      </c>
      <c r="AN21" s="3">
        <f>IF( AND(AN$3 &gt;= Вводные!$F53, AN$3 &lt;= Вводные!$G53), 1, 0)</f>
        <v>1</v>
      </c>
      <c r="AO21" s="3">
        <f>IF( AND(AO$3 &gt;= Вводные!$F53, AO$3 &lt;= Вводные!$G53), 1, 0)</f>
        <v>1</v>
      </c>
      <c r="AP21" s="3">
        <f>IF( AND(AP$3 &gt;= Вводные!$F53, AP$3 &lt;= Вводные!$G53), 1, 0)</f>
        <v>1</v>
      </c>
      <c r="AQ21" s="3">
        <f>IF( AND(AQ$3 &gt;= Вводные!$F53, AQ$3 &lt;= Вводные!$G53), 1, 0)</f>
        <v>1</v>
      </c>
      <c r="AR21" s="3">
        <f>IF( AND(AR$3 &gt;= Вводные!$F53, AR$3 &lt;= Вводные!$G53), 1, 0)</f>
        <v>1</v>
      </c>
      <c r="AS21" s="3">
        <f>IF( AND(AS$3 &gt;= Вводные!$F53, AS$3 &lt;= Вводные!$G53), 1, 0)</f>
        <v>1</v>
      </c>
      <c r="AT21" s="3">
        <f>IF( AND(AT$3 &gt;= Вводные!$F53, AT$3 &lt;= Вводные!$G53), 1, 0)</f>
        <v>1</v>
      </c>
      <c r="AU21" s="3">
        <f>IF( AND(AU$3 &gt;= Вводные!$F53, AU$3 &lt;= Вводные!$G53), 1, 0)</f>
        <v>1</v>
      </c>
      <c r="AV21" s="3">
        <f>IF( AND(AV$3 &gt;= Вводные!$F53, AV$3 &lt;= Вводные!$G53), 1, 0)</f>
        <v>1</v>
      </c>
      <c r="AW21" s="3">
        <f>IF( AND(AW$3 &gt;= Вводные!$F53, AW$3 &lt;= Вводные!$G53), 1, 0)</f>
        <v>1</v>
      </c>
      <c r="AX21" s="3">
        <f>IF( AND(AX$3 &gt;= Вводные!$F53, AX$3 &lt;= Вводные!$G53), 1, 0)</f>
        <v>1</v>
      </c>
      <c r="AY21" s="3">
        <f>IF( AND(AY$3 &gt;= Вводные!$F53, AY$3 &lt;= Вводные!$G53), 1, 0)</f>
        <v>1</v>
      </c>
      <c r="AZ21" s="3">
        <f>IF( AND(AZ$3 &gt;= Вводные!$F53, AZ$3 &lt;= Вводные!$G53), 1, 0)</f>
        <v>1</v>
      </c>
      <c r="BA21" s="3">
        <f>IF( AND(BA$3 &gt;= Вводные!$F53, BA$3 &lt;= Вводные!$G53), 1, 0)</f>
        <v>1</v>
      </c>
      <c r="BB21" s="3">
        <f>IF( AND(BB$3 &gt;= Вводные!$F53, BB$3 &lt;= Вводные!$G53), 1, 0)</f>
        <v>1</v>
      </c>
      <c r="BC21" s="3">
        <f>IF( AND(BC$3 &gt;= Вводные!$F53, BC$3 &lt;= Вводные!$G53), 1, 0)</f>
        <v>1</v>
      </c>
      <c r="BD21" s="3">
        <f>IF( AND(BD$3 &gt;= Вводные!$F53, BD$3 &lt;= Вводные!$G53), 1, 0)</f>
        <v>1</v>
      </c>
      <c r="BE21" s="3">
        <f>IF( AND(BE$3 &gt;= Вводные!$F53, BE$3 &lt;= Вводные!$G53), 1, 0)</f>
        <v>1</v>
      </c>
      <c r="BF21" s="3">
        <f>IF( AND(BF$3 &gt;= Вводные!$F53, BF$3 &lt;= Вводные!$G53), 1, 0)</f>
        <v>1</v>
      </c>
      <c r="BG21" s="3">
        <f>IF( AND(BG$3 &gt;= Вводные!$F53, BG$3 &lt;= Вводные!$G53), 1, 0)</f>
        <v>1</v>
      </c>
      <c r="BH21" s="3">
        <f>IF( AND(BH$3 &gt;= Вводные!$F53, BH$3 &lt;= Вводные!$G53), 1, 0)</f>
        <v>1</v>
      </c>
      <c r="BI21" s="3">
        <f>IF( AND(BI$3 &gt;= Вводные!$F53, BI$3 &lt;= Вводные!$G53), 1, 0)</f>
        <v>1</v>
      </c>
      <c r="BJ21" s="3">
        <f>IF( AND(BJ$3 &gt;= Вводные!$F53, BJ$3 &lt;= Вводные!$G53), 1, 0)</f>
        <v>1</v>
      </c>
    </row>
    <row r="22" spans="2:62" x14ac:dyDescent="0.15">
      <c r="D22" s="11" t="str">
        <f>Вводные!$D$47</f>
        <v>Ежегодный доход 3</v>
      </c>
      <c r="E22" s="12" t="s">
        <v>37</v>
      </c>
      <c r="J22" s="3">
        <f>IF( AND(J$3 &gt;= Вводные!$F54, J$3 &lt;= Вводные!$G54), 1, 0)</f>
        <v>1</v>
      </c>
      <c r="K22" s="3">
        <f>IF( AND(K$3 &gt;= Вводные!$F54, K$3 &lt;= Вводные!$G54), 1, 0)</f>
        <v>1</v>
      </c>
      <c r="L22" s="3">
        <f>IF( AND(L$3 &gt;= Вводные!$F54, L$3 &lt;= Вводные!$G54), 1, 0)</f>
        <v>1</v>
      </c>
      <c r="M22" s="3">
        <f>IF( AND(M$3 &gt;= Вводные!$F54, M$3 &lt;= Вводные!$G54), 1, 0)</f>
        <v>1</v>
      </c>
      <c r="N22" s="3">
        <f>IF( AND(N$3 &gt;= Вводные!$F54, N$3 &lt;= Вводные!$G54), 1, 0)</f>
        <v>1</v>
      </c>
      <c r="O22" s="3">
        <f>IF( AND(O$3 &gt;= Вводные!$F54, O$3 &lt;= Вводные!$G54), 1, 0)</f>
        <v>1</v>
      </c>
      <c r="P22" s="3">
        <f>IF( AND(P$3 &gt;= Вводные!$F54, P$3 &lt;= Вводные!$G54), 1, 0)</f>
        <v>1</v>
      </c>
      <c r="Q22" s="3">
        <f>IF( AND(Q$3 &gt;= Вводные!$F54, Q$3 &lt;= Вводные!$G54), 1, 0)</f>
        <v>1</v>
      </c>
      <c r="R22" s="3">
        <f>IF( AND(R$3 &gt;= Вводные!$F54, R$3 &lt;= Вводные!$G54), 1, 0)</f>
        <v>1</v>
      </c>
      <c r="S22" s="3">
        <f>IF( AND(S$3 &gt;= Вводные!$F54, S$3 &lt;= Вводные!$G54), 1, 0)</f>
        <v>1</v>
      </c>
      <c r="T22" s="3">
        <f>IF( AND(T$3 &gt;= Вводные!$F54, T$3 &lt;= Вводные!$G54), 1, 0)</f>
        <v>1</v>
      </c>
      <c r="U22" s="3">
        <f>IF( AND(U$3 &gt;= Вводные!$F54, U$3 &lt;= Вводные!$G54), 1, 0)</f>
        <v>1</v>
      </c>
      <c r="V22" s="3">
        <f>IF( AND(V$3 &gt;= Вводные!$F54, V$3 &lt;= Вводные!$G54), 1, 0)</f>
        <v>1</v>
      </c>
      <c r="W22" s="3">
        <f>IF( AND(W$3 &gt;= Вводные!$F54, W$3 &lt;= Вводные!$G54), 1, 0)</f>
        <v>1</v>
      </c>
      <c r="X22" s="3">
        <f>IF( AND(X$3 &gt;= Вводные!$F54, X$3 &lt;= Вводные!$G54), 1, 0)</f>
        <v>1</v>
      </c>
      <c r="Y22" s="3">
        <f>IF( AND(Y$3 &gt;= Вводные!$F54, Y$3 &lt;= Вводные!$G54), 1, 0)</f>
        <v>1</v>
      </c>
      <c r="Z22" s="3">
        <f>IF( AND(Z$3 &gt;= Вводные!$F54, Z$3 &lt;= Вводные!$G54), 1, 0)</f>
        <v>1</v>
      </c>
      <c r="AA22" s="3">
        <f>IF( AND(AA$3 &gt;= Вводные!$F54, AA$3 &lt;= Вводные!$G54), 1, 0)</f>
        <v>1</v>
      </c>
      <c r="AB22" s="3">
        <f>IF( AND(AB$3 &gt;= Вводные!$F54, AB$3 &lt;= Вводные!$G54), 1, 0)</f>
        <v>1</v>
      </c>
      <c r="AC22" s="3">
        <f>IF( AND(AC$3 &gt;= Вводные!$F54, AC$3 &lt;= Вводные!$G54), 1, 0)</f>
        <v>1</v>
      </c>
      <c r="AD22" s="3">
        <f>IF( AND(AD$3 &gt;= Вводные!$F54, AD$3 &lt;= Вводные!$G54), 1, 0)</f>
        <v>1</v>
      </c>
      <c r="AE22" s="3">
        <f>IF( AND(AE$3 &gt;= Вводные!$F54, AE$3 &lt;= Вводные!$G54), 1, 0)</f>
        <v>1</v>
      </c>
      <c r="AF22" s="3">
        <f>IF( AND(AF$3 &gt;= Вводные!$F54, AF$3 &lt;= Вводные!$G54), 1, 0)</f>
        <v>1</v>
      </c>
      <c r="AG22" s="3">
        <f>IF( AND(AG$3 &gt;= Вводные!$F54, AG$3 &lt;= Вводные!$G54), 1, 0)</f>
        <v>1</v>
      </c>
      <c r="AH22" s="3">
        <f>IF( AND(AH$3 &gt;= Вводные!$F54, AH$3 &lt;= Вводные!$G54), 1, 0)</f>
        <v>1</v>
      </c>
      <c r="AI22" s="3">
        <f>IF( AND(AI$3 &gt;= Вводные!$F54, AI$3 &lt;= Вводные!$G54), 1, 0)</f>
        <v>1</v>
      </c>
      <c r="AJ22" s="3">
        <f>IF( AND(AJ$3 &gt;= Вводные!$F54, AJ$3 &lt;= Вводные!$G54), 1, 0)</f>
        <v>1</v>
      </c>
      <c r="AK22" s="3">
        <f>IF( AND(AK$3 &gt;= Вводные!$F54, AK$3 &lt;= Вводные!$G54), 1, 0)</f>
        <v>1</v>
      </c>
      <c r="AL22" s="3">
        <f>IF( AND(AL$3 &gt;= Вводные!$F54, AL$3 &lt;= Вводные!$G54), 1, 0)</f>
        <v>1</v>
      </c>
      <c r="AM22" s="3">
        <f>IF( AND(AM$3 &gt;= Вводные!$F54, AM$3 &lt;= Вводные!$G54), 1, 0)</f>
        <v>1</v>
      </c>
      <c r="AN22" s="3">
        <f>IF( AND(AN$3 &gt;= Вводные!$F54, AN$3 &lt;= Вводные!$G54), 1, 0)</f>
        <v>1</v>
      </c>
      <c r="AO22" s="3">
        <f>IF( AND(AO$3 &gt;= Вводные!$F54, AO$3 &lt;= Вводные!$G54), 1, 0)</f>
        <v>1</v>
      </c>
      <c r="AP22" s="3">
        <f>IF( AND(AP$3 &gt;= Вводные!$F54, AP$3 &lt;= Вводные!$G54), 1, 0)</f>
        <v>1</v>
      </c>
      <c r="AQ22" s="3">
        <f>IF( AND(AQ$3 &gt;= Вводные!$F54, AQ$3 &lt;= Вводные!$G54), 1, 0)</f>
        <v>1</v>
      </c>
      <c r="AR22" s="3">
        <f>IF( AND(AR$3 &gt;= Вводные!$F54, AR$3 &lt;= Вводные!$G54), 1, 0)</f>
        <v>1</v>
      </c>
      <c r="AS22" s="3">
        <f>IF( AND(AS$3 &gt;= Вводные!$F54, AS$3 &lt;= Вводные!$G54), 1, 0)</f>
        <v>1</v>
      </c>
      <c r="AT22" s="3">
        <f>IF( AND(AT$3 &gt;= Вводные!$F54, AT$3 &lt;= Вводные!$G54), 1, 0)</f>
        <v>1</v>
      </c>
      <c r="AU22" s="3">
        <f>IF( AND(AU$3 &gt;= Вводные!$F54, AU$3 &lt;= Вводные!$G54), 1, 0)</f>
        <v>1</v>
      </c>
      <c r="AV22" s="3">
        <f>IF( AND(AV$3 &gt;= Вводные!$F54, AV$3 &lt;= Вводные!$G54), 1, 0)</f>
        <v>1</v>
      </c>
      <c r="AW22" s="3">
        <f>IF( AND(AW$3 &gt;= Вводные!$F54, AW$3 &lt;= Вводные!$G54), 1, 0)</f>
        <v>1</v>
      </c>
      <c r="AX22" s="3">
        <f>IF( AND(AX$3 &gt;= Вводные!$F54, AX$3 &lt;= Вводные!$G54), 1, 0)</f>
        <v>1</v>
      </c>
      <c r="AY22" s="3">
        <f>IF( AND(AY$3 &gt;= Вводные!$F54, AY$3 &lt;= Вводные!$G54), 1, 0)</f>
        <v>1</v>
      </c>
      <c r="AZ22" s="3">
        <f>IF( AND(AZ$3 &gt;= Вводные!$F54, AZ$3 &lt;= Вводные!$G54), 1, 0)</f>
        <v>1</v>
      </c>
      <c r="BA22" s="3">
        <f>IF( AND(BA$3 &gt;= Вводные!$F54, BA$3 &lt;= Вводные!$G54), 1, 0)</f>
        <v>1</v>
      </c>
      <c r="BB22" s="3">
        <f>IF( AND(BB$3 &gt;= Вводные!$F54, BB$3 &lt;= Вводные!$G54), 1, 0)</f>
        <v>1</v>
      </c>
      <c r="BC22" s="3">
        <f>IF( AND(BC$3 &gt;= Вводные!$F54, BC$3 &lt;= Вводные!$G54), 1, 0)</f>
        <v>1</v>
      </c>
      <c r="BD22" s="3">
        <f>IF( AND(BD$3 &gt;= Вводные!$F54, BD$3 &lt;= Вводные!$G54), 1, 0)</f>
        <v>1</v>
      </c>
      <c r="BE22" s="3">
        <f>IF( AND(BE$3 &gt;= Вводные!$F54, BE$3 &lt;= Вводные!$G54), 1, 0)</f>
        <v>1</v>
      </c>
      <c r="BF22" s="3">
        <f>IF( AND(BF$3 &gt;= Вводные!$F54, BF$3 &lt;= Вводные!$G54), 1, 0)</f>
        <v>1</v>
      </c>
      <c r="BG22" s="3">
        <f>IF( AND(BG$3 &gt;= Вводные!$F54, BG$3 &lt;= Вводные!$G54), 1, 0)</f>
        <v>1</v>
      </c>
      <c r="BH22" s="3">
        <f>IF( AND(BH$3 &gt;= Вводные!$F54, BH$3 &lt;= Вводные!$G54), 1, 0)</f>
        <v>1</v>
      </c>
      <c r="BI22" s="3">
        <f>IF( AND(BI$3 &gt;= Вводные!$F54, BI$3 &lt;= Вводные!$G54), 1, 0)</f>
        <v>1</v>
      </c>
      <c r="BJ22" s="3">
        <f>IF( AND(BJ$3 &gt;= Вводные!$F54, BJ$3 &lt;= Вводные!$G54), 1, 0)</f>
        <v>1</v>
      </c>
    </row>
    <row r="23" spans="2:62" x14ac:dyDescent="0.15">
      <c r="D23" s="11" t="str">
        <f>Вводные!$D$48</f>
        <v>Ежегодный доход 4</v>
      </c>
      <c r="E23" s="12" t="s">
        <v>37</v>
      </c>
      <c r="J23" s="3">
        <f>IF( AND(J$3 &gt;= Вводные!$F55, J$3 &lt;= Вводные!$G55), 1, 0)</f>
        <v>1</v>
      </c>
      <c r="K23" s="3">
        <f>IF( AND(K$3 &gt;= Вводные!$F55, K$3 &lt;= Вводные!$G55), 1, 0)</f>
        <v>1</v>
      </c>
      <c r="L23" s="3">
        <f>IF( AND(L$3 &gt;= Вводные!$F55, L$3 &lt;= Вводные!$G55), 1, 0)</f>
        <v>1</v>
      </c>
      <c r="M23" s="3">
        <f>IF( AND(M$3 &gt;= Вводные!$F55, M$3 &lt;= Вводные!$G55), 1, 0)</f>
        <v>1</v>
      </c>
      <c r="N23" s="3">
        <f>IF( AND(N$3 &gt;= Вводные!$F55, N$3 &lt;= Вводные!$G55), 1, 0)</f>
        <v>1</v>
      </c>
      <c r="O23" s="3">
        <f>IF( AND(O$3 &gt;= Вводные!$F55, O$3 &lt;= Вводные!$G55), 1, 0)</f>
        <v>1</v>
      </c>
      <c r="P23" s="3">
        <f>IF( AND(P$3 &gt;= Вводные!$F55, P$3 &lt;= Вводные!$G55), 1, 0)</f>
        <v>1</v>
      </c>
      <c r="Q23" s="3">
        <f>IF( AND(Q$3 &gt;= Вводные!$F55, Q$3 &lt;= Вводные!$G55), 1, 0)</f>
        <v>1</v>
      </c>
      <c r="R23" s="3">
        <f>IF( AND(R$3 &gt;= Вводные!$F55, R$3 &lt;= Вводные!$G55), 1, 0)</f>
        <v>1</v>
      </c>
      <c r="S23" s="3">
        <f>IF( AND(S$3 &gt;= Вводные!$F55, S$3 &lt;= Вводные!$G55), 1, 0)</f>
        <v>1</v>
      </c>
      <c r="T23" s="3">
        <f>IF( AND(T$3 &gt;= Вводные!$F55, T$3 &lt;= Вводные!$G55), 1, 0)</f>
        <v>1</v>
      </c>
      <c r="U23" s="3">
        <f>IF( AND(U$3 &gt;= Вводные!$F55, U$3 &lt;= Вводные!$G55), 1, 0)</f>
        <v>1</v>
      </c>
      <c r="V23" s="3">
        <f>IF( AND(V$3 &gt;= Вводные!$F55, V$3 &lt;= Вводные!$G55), 1, 0)</f>
        <v>1</v>
      </c>
      <c r="W23" s="3">
        <f>IF( AND(W$3 &gt;= Вводные!$F55, W$3 &lt;= Вводные!$G55), 1, 0)</f>
        <v>1</v>
      </c>
      <c r="X23" s="3">
        <f>IF( AND(X$3 &gt;= Вводные!$F55, X$3 &lt;= Вводные!$G55), 1, 0)</f>
        <v>1</v>
      </c>
      <c r="Y23" s="3">
        <f>IF( AND(Y$3 &gt;= Вводные!$F55, Y$3 &lt;= Вводные!$G55), 1, 0)</f>
        <v>1</v>
      </c>
      <c r="Z23" s="3">
        <f>IF( AND(Z$3 &gt;= Вводные!$F55, Z$3 &lt;= Вводные!$G55), 1, 0)</f>
        <v>1</v>
      </c>
      <c r="AA23" s="3">
        <f>IF( AND(AA$3 &gt;= Вводные!$F55, AA$3 &lt;= Вводные!$G55), 1, 0)</f>
        <v>1</v>
      </c>
      <c r="AB23" s="3">
        <f>IF( AND(AB$3 &gt;= Вводные!$F55, AB$3 &lt;= Вводные!$G55), 1, 0)</f>
        <v>1</v>
      </c>
      <c r="AC23" s="3">
        <f>IF( AND(AC$3 &gt;= Вводные!$F55, AC$3 &lt;= Вводные!$G55), 1, 0)</f>
        <v>1</v>
      </c>
      <c r="AD23" s="3">
        <f>IF( AND(AD$3 &gt;= Вводные!$F55, AD$3 &lt;= Вводные!$G55), 1, 0)</f>
        <v>1</v>
      </c>
      <c r="AE23" s="3">
        <f>IF( AND(AE$3 &gt;= Вводные!$F55, AE$3 &lt;= Вводные!$G55), 1, 0)</f>
        <v>1</v>
      </c>
      <c r="AF23" s="3">
        <f>IF( AND(AF$3 &gt;= Вводные!$F55, AF$3 &lt;= Вводные!$G55), 1, 0)</f>
        <v>1</v>
      </c>
      <c r="AG23" s="3">
        <f>IF( AND(AG$3 &gt;= Вводные!$F55, AG$3 &lt;= Вводные!$G55), 1, 0)</f>
        <v>1</v>
      </c>
      <c r="AH23" s="3">
        <f>IF( AND(AH$3 &gt;= Вводные!$F55, AH$3 &lt;= Вводные!$G55), 1, 0)</f>
        <v>1</v>
      </c>
      <c r="AI23" s="3">
        <f>IF( AND(AI$3 &gt;= Вводные!$F55, AI$3 &lt;= Вводные!$G55), 1, 0)</f>
        <v>1</v>
      </c>
      <c r="AJ23" s="3">
        <f>IF( AND(AJ$3 &gt;= Вводные!$F55, AJ$3 &lt;= Вводные!$G55), 1, 0)</f>
        <v>1</v>
      </c>
      <c r="AK23" s="3">
        <f>IF( AND(AK$3 &gt;= Вводные!$F55, AK$3 &lt;= Вводные!$G55), 1, 0)</f>
        <v>1</v>
      </c>
      <c r="AL23" s="3">
        <f>IF( AND(AL$3 &gt;= Вводные!$F55, AL$3 &lt;= Вводные!$G55), 1, 0)</f>
        <v>1</v>
      </c>
      <c r="AM23" s="3">
        <f>IF( AND(AM$3 &gt;= Вводные!$F55, AM$3 &lt;= Вводные!$G55), 1, 0)</f>
        <v>1</v>
      </c>
      <c r="AN23" s="3">
        <f>IF( AND(AN$3 &gt;= Вводные!$F55, AN$3 &lt;= Вводные!$G55), 1, 0)</f>
        <v>1</v>
      </c>
      <c r="AO23" s="3">
        <f>IF( AND(AO$3 &gt;= Вводные!$F55, AO$3 &lt;= Вводные!$G55), 1, 0)</f>
        <v>1</v>
      </c>
      <c r="AP23" s="3">
        <f>IF( AND(AP$3 &gt;= Вводные!$F55, AP$3 &lt;= Вводные!$G55), 1, 0)</f>
        <v>1</v>
      </c>
      <c r="AQ23" s="3">
        <f>IF( AND(AQ$3 &gt;= Вводные!$F55, AQ$3 &lt;= Вводные!$G55), 1, 0)</f>
        <v>1</v>
      </c>
      <c r="AR23" s="3">
        <f>IF( AND(AR$3 &gt;= Вводные!$F55, AR$3 &lt;= Вводные!$G55), 1, 0)</f>
        <v>1</v>
      </c>
      <c r="AS23" s="3">
        <f>IF( AND(AS$3 &gt;= Вводные!$F55, AS$3 &lt;= Вводные!$G55), 1, 0)</f>
        <v>1</v>
      </c>
      <c r="AT23" s="3">
        <f>IF( AND(AT$3 &gt;= Вводные!$F55, AT$3 &lt;= Вводные!$G55), 1, 0)</f>
        <v>1</v>
      </c>
      <c r="AU23" s="3">
        <f>IF( AND(AU$3 &gt;= Вводные!$F55, AU$3 &lt;= Вводные!$G55), 1, 0)</f>
        <v>1</v>
      </c>
      <c r="AV23" s="3">
        <f>IF( AND(AV$3 &gt;= Вводные!$F55, AV$3 &lt;= Вводные!$G55), 1, 0)</f>
        <v>1</v>
      </c>
      <c r="AW23" s="3">
        <f>IF( AND(AW$3 &gt;= Вводные!$F55, AW$3 &lt;= Вводные!$G55), 1, 0)</f>
        <v>1</v>
      </c>
      <c r="AX23" s="3">
        <f>IF( AND(AX$3 &gt;= Вводные!$F55, AX$3 &lt;= Вводные!$G55), 1, 0)</f>
        <v>1</v>
      </c>
      <c r="AY23" s="3">
        <f>IF( AND(AY$3 &gt;= Вводные!$F55, AY$3 &lt;= Вводные!$G55), 1, 0)</f>
        <v>1</v>
      </c>
      <c r="AZ23" s="3">
        <f>IF( AND(AZ$3 &gt;= Вводные!$F55, AZ$3 &lt;= Вводные!$G55), 1, 0)</f>
        <v>1</v>
      </c>
      <c r="BA23" s="3">
        <f>IF( AND(BA$3 &gt;= Вводные!$F55, BA$3 &lt;= Вводные!$G55), 1, 0)</f>
        <v>1</v>
      </c>
      <c r="BB23" s="3">
        <f>IF( AND(BB$3 &gt;= Вводные!$F55, BB$3 &lt;= Вводные!$G55), 1, 0)</f>
        <v>1</v>
      </c>
      <c r="BC23" s="3">
        <f>IF( AND(BC$3 &gt;= Вводные!$F55, BC$3 &lt;= Вводные!$G55), 1, 0)</f>
        <v>1</v>
      </c>
      <c r="BD23" s="3">
        <f>IF( AND(BD$3 &gt;= Вводные!$F55, BD$3 &lt;= Вводные!$G55), 1, 0)</f>
        <v>1</v>
      </c>
      <c r="BE23" s="3">
        <f>IF( AND(BE$3 &gt;= Вводные!$F55, BE$3 &lt;= Вводные!$G55), 1, 0)</f>
        <v>1</v>
      </c>
      <c r="BF23" s="3">
        <f>IF( AND(BF$3 &gt;= Вводные!$F55, BF$3 &lt;= Вводные!$G55), 1, 0)</f>
        <v>1</v>
      </c>
      <c r="BG23" s="3">
        <f>IF( AND(BG$3 &gt;= Вводные!$F55, BG$3 &lt;= Вводные!$G55), 1, 0)</f>
        <v>1</v>
      </c>
      <c r="BH23" s="3">
        <f>IF( AND(BH$3 &gt;= Вводные!$F55, BH$3 &lt;= Вводные!$G55), 1, 0)</f>
        <v>1</v>
      </c>
      <c r="BI23" s="3">
        <f>IF( AND(BI$3 &gt;= Вводные!$F55, BI$3 &lt;= Вводные!$G55), 1, 0)</f>
        <v>1</v>
      </c>
      <c r="BJ23" s="3">
        <f>IF( AND(BJ$3 &gt;= Вводные!$F55, BJ$3 &lt;= Вводные!$G55), 1, 0)</f>
        <v>1</v>
      </c>
    </row>
    <row r="24" spans="2:62" x14ac:dyDescent="0.15">
      <c r="D24" s="11" t="str">
        <f>Вводные!$D$49</f>
        <v>Ежегодный доход 5</v>
      </c>
      <c r="E24" s="12" t="s">
        <v>37</v>
      </c>
      <c r="J24" s="3">
        <f>IF( AND(J$3 &gt;= Вводные!$F56, J$3 &lt;= Вводные!$G56), 1, 0)</f>
        <v>1</v>
      </c>
      <c r="K24" s="3">
        <f>IF( AND(K$3 &gt;= Вводные!$F56, K$3 &lt;= Вводные!$G56), 1, 0)</f>
        <v>1</v>
      </c>
      <c r="L24" s="3">
        <f>IF( AND(L$3 &gt;= Вводные!$F56, L$3 &lt;= Вводные!$G56), 1, 0)</f>
        <v>1</v>
      </c>
      <c r="M24" s="3">
        <f>IF( AND(M$3 &gt;= Вводные!$F56, M$3 &lt;= Вводные!$G56), 1, 0)</f>
        <v>1</v>
      </c>
      <c r="N24" s="3">
        <f>IF( AND(N$3 &gt;= Вводные!$F56, N$3 &lt;= Вводные!$G56), 1, 0)</f>
        <v>1</v>
      </c>
      <c r="O24" s="3">
        <f>IF( AND(O$3 &gt;= Вводные!$F56, O$3 &lt;= Вводные!$G56), 1, 0)</f>
        <v>1</v>
      </c>
      <c r="P24" s="3">
        <f>IF( AND(P$3 &gt;= Вводные!$F56, P$3 &lt;= Вводные!$G56), 1, 0)</f>
        <v>1</v>
      </c>
      <c r="Q24" s="3">
        <f>IF( AND(Q$3 &gt;= Вводные!$F56, Q$3 &lt;= Вводные!$G56), 1, 0)</f>
        <v>1</v>
      </c>
      <c r="R24" s="3">
        <f>IF( AND(R$3 &gt;= Вводные!$F56, R$3 &lt;= Вводные!$G56), 1, 0)</f>
        <v>1</v>
      </c>
      <c r="S24" s="3">
        <f>IF( AND(S$3 &gt;= Вводные!$F56, S$3 &lt;= Вводные!$G56), 1, 0)</f>
        <v>1</v>
      </c>
      <c r="T24" s="3">
        <f>IF( AND(T$3 &gt;= Вводные!$F56, T$3 &lt;= Вводные!$G56), 1, 0)</f>
        <v>1</v>
      </c>
      <c r="U24" s="3">
        <f>IF( AND(U$3 &gt;= Вводные!$F56, U$3 &lt;= Вводные!$G56), 1, 0)</f>
        <v>1</v>
      </c>
      <c r="V24" s="3">
        <f>IF( AND(V$3 &gt;= Вводные!$F56, V$3 &lt;= Вводные!$G56), 1, 0)</f>
        <v>1</v>
      </c>
      <c r="W24" s="3">
        <f>IF( AND(W$3 &gt;= Вводные!$F56, W$3 &lt;= Вводные!$G56), 1, 0)</f>
        <v>1</v>
      </c>
      <c r="X24" s="3">
        <f>IF( AND(X$3 &gt;= Вводные!$F56, X$3 &lt;= Вводные!$G56), 1, 0)</f>
        <v>1</v>
      </c>
      <c r="Y24" s="3">
        <f>IF( AND(Y$3 &gt;= Вводные!$F56, Y$3 &lt;= Вводные!$G56), 1, 0)</f>
        <v>1</v>
      </c>
      <c r="Z24" s="3">
        <f>IF( AND(Z$3 &gt;= Вводные!$F56, Z$3 &lt;= Вводные!$G56), 1, 0)</f>
        <v>1</v>
      </c>
      <c r="AA24" s="3">
        <f>IF( AND(AA$3 &gt;= Вводные!$F56, AA$3 &lt;= Вводные!$G56), 1, 0)</f>
        <v>1</v>
      </c>
      <c r="AB24" s="3">
        <f>IF( AND(AB$3 &gt;= Вводные!$F56, AB$3 &lt;= Вводные!$G56), 1, 0)</f>
        <v>1</v>
      </c>
      <c r="AC24" s="3">
        <f>IF( AND(AC$3 &gt;= Вводные!$F56, AC$3 &lt;= Вводные!$G56), 1, 0)</f>
        <v>1</v>
      </c>
      <c r="AD24" s="3">
        <f>IF( AND(AD$3 &gt;= Вводные!$F56, AD$3 &lt;= Вводные!$G56), 1, 0)</f>
        <v>1</v>
      </c>
      <c r="AE24" s="3">
        <f>IF( AND(AE$3 &gt;= Вводные!$F56, AE$3 &lt;= Вводные!$G56), 1, 0)</f>
        <v>1</v>
      </c>
      <c r="AF24" s="3">
        <f>IF( AND(AF$3 &gt;= Вводные!$F56, AF$3 &lt;= Вводные!$G56), 1, 0)</f>
        <v>1</v>
      </c>
      <c r="AG24" s="3">
        <f>IF( AND(AG$3 &gt;= Вводные!$F56, AG$3 &lt;= Вводные!$G56), 1, 0)</f>
        <v>1</v>
      </c>
      <c r="AH24" s="3">
        <f>IF( AND(AH$3 &gt;= Вводные!$F56, AH$3 &lt;= Вводные!$G56), 1, 0)</f>
        <v>1</v>
      </c>
      <c r="AI24" s="3">
        <f>IF( AND(AI$3 &gt;= Вводные!$F56, AI$3 &lt;= Вводные!$G56), 1, 0)</f>
        <v>1</v>
      </c>
      <c r="AJ24" s="3">
        <f>IF( AND(AJ$3 &gt;= Вводные!$F56, AJ$3 &lt;= Вводные!$G56), 1, 0)</f>
        <v>1</v>
      </c>
      <c r="AK24" s="3">
        <f>IF( AND(AK$3 &gt;= Вводные!$F56, AK$3 &lt;= Вводные!$G56), 1, 0)</f>
        <v>1</v>
      </c>
      <c r="AL24" s="3">
        <f>IF( AND(AL$3 &gt;= Вводные!$F56, AL$3 &lt;= Вводные!$G56), 1, 0)</f>
        <v>1</v>
      </c>
      <c r="AM24" s="3">
        <f>IF( AND(AM$3 &gt;= Вводные!$F56, AM$3 &lt;= Вводные!$G56), 1, 0)</f>
        <v>1</v>
      </c>
      <c r="AN24" s="3">
        <f>IF( AND(AN$3 &gt;= Вводные!$F56, AN$3 &lt;= Вводные!$G56), 1, 0)</f>
        <v>1</v>
      </c>
      <c r="AO24" s="3">
        <f>IF( AND(AO$3 &gt;= Вводные!$F56, AO$3 &lt;= Вводные!$G56), 1, 0)</f>
        <v>1</v>
      </c>
      <c r="AP24" s="3">
        <f>IF( AND(AP$3 &gt;= Вводные!$F56, AP$3 &lt;= Вводные!$G56), 1, 0)</f>
        <v>1</v>
      </c>
      <c r="AQ24" s="3">
        <f>IF( AND(AQ$3 &gt;= Вводные!$F56, AQ$3 &lt;= Вводные!$G56), 1, 0)</f>
        <v>1</v>
      </c>
      <c r="AR24" s="3">
        <f>IF( AND(AR$3 &gt;= Вводные!$F56, AR$3 &lt;= Вводные!$G56), 1, 0)</f>
        <v>1</v>
      </c>
      <c r="AS24" s="3">
        <f>IF( AND(AS$3 &gt;= Вводные!$F56, AS$3 &lt;= Вводные!$G56), 1, 0)</f>
        <v>1</v>
      </c>
      <c r="AT24" s="3">
        <f>IF( AND(AT$3 &gt;= Вводные!$F56, AT$3 &lt;= Вводные!$G56), 1, 0)</f>
        <v>1</v>
      </c>
      <c r="AU24" s="3">
        <f>IF( AND(AU$3 &gt;= Вводные!$F56, AU$3 &lt;= Вводные!$G56), 1, 0)</f>
        <v>1</v>
      </c>
      <c r="AV24" s="3">
        <f>IF( AND(AV$3 &gt;= Вводные!$F56, AV$3 &lt;= Вводные!$G56), 1, 0)</f>
        <v>1</v>
      </c>
      <c r="AW24" s="3">
        <f>IF( AND(AW$3 &gt;= Вводные!$F56, AW$3 &lt;= Вводные!$G56), 1, 0)</f>
        <v>1</v>
      </c>
      <c r="AX24" s="3">
        <f>IF( AND(AX$3 &gt;= Вводные!$F56, AX$3 &lt;= Вводные!$G56), 1, 0)</f>
        <v>1</v>
      </c>
      <c r="AY24" s="3">
        <f>IF( AND(AY$3 &gt;= Вводные!$F56, AY$3 &lt;= Вводные!$G56), 1, 0)</f>
        <v>1</v>
      </c>
      <c r="AZ24" s="3">
        <f>IF( AND(AZ$3 &gt;= Вводные!$F56, AZ$3 &lt;= Вводные!$G56), 1, 0)</f>
        <v>1</v>
      </c>
      <c r="BA24" s="3">
        <f>IF( AND(BA$3 &gt;= Вводные!$F56, BA$3 &lt;= Вводные!$G56), 1, 0)</f>
        <v>1</v>
      </c>
      <c r="BB24" s="3">
        <f>IF( AND(BB$3 &gt;= Вводные!$F56, BB$3 &lt;= Вводные!$G56), 1, 0)</f>
        <v>1</v>
      </c>
      <c r="BC24" s="3">
        <f>IF( AND(BC$3 &gt;= Вводные!$F56, BC$3 &lt;= Вводные!$G56), 1, 0)</f>
        <v>1</v>
      </c>
      <c r="BD24" s="3">
        <f>IF( AND(BD$3 &gt;= Вводные!$F56, BD$3 &lt;= Вводные!$G56), 1, 0)</f>
        <v>1</v>
      </c>
      <c r="BE24" s="3">
        <f>IF( AND(BE$3 &gt;= Вводные!$F56, BE$3 &lt;= Вводные!$G56), 1, 0)</f>
        <v>1</v>
      </c>
      <c r="BF24" s="3">
        <f>IF( AND(BF$3 &gt;= Вводные!$F56, BF$3 &lt;= Вводные!$G56), 1, 0)</f>
        <v>1</v>
      </c>
      <c r="BG24" s="3">
        <f>IF( AND(BG$3 &gt;= Вводные!$F56, BG$3 &lt;= Вводные!$G56), 1, 0)</f>
        <v>1</v>
      </c>
      <c r="BH24" s="3">
        <f>IF( AND(BH$3 &gt;= Вводные!$F56, BH$3 &lt;= Вводные!$G56), 1, 0)</f>
        <v>1</v>
      </c>
      <c r="BI24" s="3">
        <f>IF( AND(BI$3 &gt;= Вводные!$F56, BI$3 &lt;= Вводные!$G56), 1, 0)</f>
        <v>1</v>
      </c>
      <c r="BJ24" s="3">
        <f>IF( AND(BJ$3 &gt;= Вводные!$F56, BJ$3 &lt;= Вводные!$G56), 1, 0)</f>
        <v>1</v>
      </c>
    </row>
    <row r="26" spans="2:62" ht="12" x14ac:dyDescent="0.15">
      <c r="B26" s="1">
        <f>MAX( $B$7:B9 ) + 1</f>
        <v>2</v>
      </c>
      <c r="C26" s="1"/>
      <c r="D26" s="1" t="s">
        <v>1</v>
      </c>
      <c r="E26" s="1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8" spans="2:62" ht="12" thickBot="1" x14ac:dyDescent="0.2">
      <c r="D28" s="8" t="s">
        <v>13</v>
      </c>
      <c r="E28" s="15" t="s">
        <v>110</v>
      </c>
      <c r="I28" s="24">
        <f>SUM(I32,I48)</f>
        <v>156000</v>
      </c>
      <c r="J28" s="7">
        <f>SUM(J32,J48)</f>
        <v>156000</v>
      </c>
      <c r="K28" s="7">
        <f t="shared" ref="K28:AN28" si="0">SUM(K32,K48)</f>
        <v>192360</v>
      </c>
      <c r="L28" s="7">
        <f t="shared" si="0"/>
        <v>198130.8</v>
      </c>
      <c r="M28" s="7">
        <f t="shared" si="0"/>
        <v>204074.72399999999</v>
      </c>
      <c r="N28" s="7">
        <f t="shared" si="0"/>
        <v>210196.96572000001</v>
      </c>
      <c r="O28" s="7">
        <f t="shared" si="0"/>
        <v>216502.87469160001</v>
      </c>
      <c r="P28" s="7">
        <f t="shared" si="0"/>
        <v>222997.96093234804</v>
      </c>
      <c r="Q28" s="7">
        <f t="shared" si="0"/>
        <v>229687.89976031848</v>
      </c>
      <c r="R28" s="7">
        <f t="shared" si="0"/>
        <v>236578.53675312802</v>
      </c>
      <c r="S28" s="7">
        <f t="shared" si="0"/>
        <v>243675.89285572188</v>
      </c>
      <c r="T28" s="7">
        <f t="shared" si="0"/>
        <v>250986.16964139353</v>
      </c>
      <c r="U28" s="7">
        <f t="shared" si="0"/>
        <v>258515.75473063535</v>
      </c>
      <c r="V28" s="7">
        <f t="shared" si="0"/>
        <v>266271.22737255436</v>
      </c>
      <c r="W28" s="7">
        <f t="shared" si="0"/>
        <v>274259.36419373099</v>
      </c>
      <c r="X28" s="7">
        <f t="shared" si="0"/>
        <v>282487.14511954295</v>
      </c>
      <c r="Y28" s="7">
        <f t="shared" si="0"/>
        <v>290961.75947312923</v>
      </c>
      <c r="Z28" s="7">
        <f t="shared" si="0"/>
        <v>299690.61225732311</v>
      </c>
      <c r="AA28" s="7">
        <f t="shared" si="0"/>
        <v>308681.33062504278</v>
      </c>
      <c r="AB28" s="7">
        <f t="shared" si="0"/>
        <v>317941.77054379409</v>
      </c>
      <c r="AC28" s="7">
        <f t="shared" si="0"/>
        <v>327480.02366010792</v>
      </c>
      <c r="AD28" s="7">
        <f t="shared" si="0"/>
        <v>337304.42436991114</v>
      </c>
      <c r="AE28" s="7">
        <f t="shared" si="0"/>
        <v>347423.55710100854</v>
      </c>
      <c r="AF28" s="7">
        <f t="shared" si="0"/>
        <v>357846.26381403883</v>
      </c>
      <c r="AG28" s="7">
        <f t="shared" si="0"/>
        <v>368581.65172845998</v>
      </c>
      <c r="AH28" s="7">
        <f t="shared" si="0"/>
        <v>379639.1012803138</v>
      </c>
      <c r="AI28" s="7">
        <f t="shared" si="0"/>
        <v>391028.27431872324</v>
      </c>
      <c r="AJ28" s="7">
        <f t="shared" si="0"/>
        <v>402759.12254828494</v>
      </c>
      <c r="AK28" s="7">
        <f t="shared" si="0"/>
        <v>414841.89622473344</v>
      </c>
      <c r="AL28" s="7">
        <f t="shared" si="0"/>
        <v>427287.15311147546</v>
      </c>
      <c r="AM28" s="7">
        <f t="shared" si="0"/>
        <v>440105.76770481974</v>
      </c>
      <c r="AN28" s="7">
        <f t="shared" si="0"/>
        <v>453308.94073596434</v>
      </c>
      <c r="AO28" s="7">
        <f t="shared" ref="AO28:BJ28" si="1">SUM(AO32,AO48)</f>
        <v>466908.20895804325</v>
      </c>
      <c r="AP28" s="7">
        <f t="shared" si="1"/>
        <v>480915.45522678463</v>
      </c>
      <c r="AQ28" s="7">
        <f t="shared" si="1"/>
        <v>495342.91888358817</v>
      </c>
      <c r="AR28" s="7">
        <f t="shared" si="1"/>
        <v>510203.20645009587</v>
      </c>
      <c r="AS28" s="7">
        <f t="shared" si="1"/>
        <v>525509.30264359864</v>
      </c>
      <c r="AT28" s="7">
        <f t="shared" si="1"/>
        <v>541274.58172290667</v>
      </c>
      <c r="AU28" s="7">
        <f t="shared" si="1"/>
        <v>557512.8191745939</v>
      </c>
      <c r="AV28" s="7">
        <f t="shared" si="1"/>
        <v>574238.20374983177</v>
      </c>
      <c r="AW28" s="7">
        <f t="shared" si="1"/>
        <v>591465.34986232664</v>
      </c>
      <c r="AX28" s="7">
        <f t="shared" si="1"/>
        <v>609209.3103581965</v>
      </c>
      <c r="AY28" s="7">
        <f t="shared" si="1"/>
        <v>627485.5896689425</v>
      </c>
      <c r="AZ28" s="7">
        <f t="shared" si="1"/>
        <v>646310.15735901066</v>
      </c>
      <c r="BA28" s="7">
        <f t="shared" si="1"/>
        <v>665699.46207978111</v>
      </c>
      <c r="BB28" s="7">
        <f t="shared" si="1"/>
        <v>685670.44594217453</v>
      </c>
      <c r="BC28" s="7">
        <f t="shared" si="1"/>
        <v>706240.5593204397</v>
      </c>
      <c r="BD28" s="7">
        <f t="shared" si="1"/>
        <v>727427.77610005287</v>
      </c>
      <c r="BE28" s="7">
        <f t="shared" si="1"/>
        <v>749250.60938305454</v>
      </c>
      <c r="BF28" s="7">
        <f t="shared" si="1"/>
        <v>771728.12766454625</v>
      </c>
      <c r="BG28" s="7">
        <f t="shared" si="1"/>
        <v>794879.9714944826</v>
      </c>
      <c r="BH28" s="7">
        <f t="shared" si="1"/>
        <v>818726.3706393172</v>
      </c>
      <c r="BI28" s="7">
        <f t="shared" si="1"/>
        <v>843288.16175849666</v>
      </c>
      <c r="BJ28" s="7">
        <f t="shared" si="1"/>
        <v>868586.80661125155</v>
      </c>
    </row>
    <row r="29" spans="2:62" ht="12" thickTop="1" x14ac:dyDescent="0.15"/>
    <row r="30" spans="2:62" x14ac:dyDescent="0.15">
      <c r="C30" s="2">
        <f>MAX( $B$7:C27 ) + 0.1</f>
        <v>2.1</v>
      </c>
      <c r="D30" s="2" t="s">
        <v>6</v>
      </c>
      <c r="E30" s="14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</row>
    <row r="32" spans="2:62" ht="12" thickBot="1" x14ac:dyDescent="0.2">
      <c r="D32" s="8" t="s">
        <v>6</v>
      </c>
      <c r="E32" s="15" t="s">
        <v>110</v>
      </c>
      <c r="I32" s="24">
        <f t="shared" ref="I32:AN32" si="2">SUM(I33:I37)</f>
        <v>156000</v>
      </c>
      <c r="J32" s="7">
        <f t="shared" si="2"/>
        <v>156000</v>
      </c>
      <c r="K32" s="7">
        <f t="shared" si="2"/>
        <v>192360</v>
      </c>
      <c r="L32" s="7">
        <f t="shared" si="2"/>
        <v>198130.8</v>
      </c>
      <c r="M32" s="7">
        <f t="shared" si="2"/>
        <v>204074.72399999999</v>
      </c>
      <c r="N32" s="7">
        <f t="shared" si="2"/>
        <v>210196.96572000001</v>
      </c>
      <c r="O32" s="7">
        <f t="shared" si="2"/>
        <v>216502.87469160001</v>
      </c>
      <c r="P32" s="7">
        <f t="shared" si="2"/>
        <v>222997.96093234804</v>
      </c>
      <c r="Q32" s="7">
        <f t="shared" si="2"/>
        <v>229687.89976031848</v>
      </c>
      <c r="R32" s="7">
        <f t="shared" si="2"/>
        <v>236578.53675312802</v>
      </c>
      <c r="S32" s="7">
        <f t="shared" si="2"/>
        <v>243675.89285572188</v>
      </c>
      <c r="T32" s="7">
        <f t="shared" si="2"/>
        <v>250986.16964139353</v>
      </c>
      <c r="U32" s="7">
        <f t="shared" si="2"/>
        <v>258515.75473063535</v>
      </c>
      <c r="V32" s="7">
        <f t="shared" si="2"/>
        <v>266271.22737255436</v>
      </c>
      <c r="W32" s="7">
        <f t="shared" si="2"/>
        <v>274259.36419373099</v>
      </c>
      <c r="X32" s="7">
        <f t="shared" si="2"/>
        <v>282487.14511954295</v>
      </c>
      <c r="Y32" s="7">
        <f t="shared" si="2"/>
        <v>290961.75947312923</v>
      </c>
      <c r="Z32" s="7">
        <f t="shared" si="2"/>
        <v>299690.61225732311</v>
      </c>
      <c r="AA32" s="7">
        <f t="shared" si="2"/>
        <v>308681.33062504278</v>
      </c>
      <c r="AB32" s="7">
        <f t="shared" si="2"/>
        <v>317941.77054379409</v>
      </c>
      <c r="AC32" s="7">
        <f t="shared" si="2"/>
        <v>327480.02366010792</v>
      </c>
      <c r="AD32" s="7">
        <f t="shared" si="2"/>
        <v>337304.42436991114</v>
      </c>
      <c r="AE32" s="7">
        <f t="shared" si="2"/>
        <v>347423.55710100854</v>
      </c>
      <c r="AF32" s="7">
        <f t="shared" si="2"/>
        <v>357846.26381403883</v>
      </c>
      <c r="AG32" s="7">
        <f t="shared" si="2"/>
        <v>368581.65172845998</v>
      </c>
      <c r="AH32" s="7">
        <f t="shared" si="2"/>
        <v>379639.1012803138</v>
      </c>
      <c r="AI32" s="7">
        <f t="shared" si="2"/>
        <v>391028.27431872324</v>
      </c>
      <c r="AJ32" s="7">
        <f t="shared" si="2"/>
        <v>402759.12254828494</v>
      </c>
      <c r="AK32" s="7">
        <f t="shared" si="2"/>
        <v>414841.89622473344</v>
      </c>
      <c r="AL32" s="7">
        <f t="shared" si="2"/>
        <v>427287.15311147546</v>
      </c>
      <c r="AM32" s="7">
        <f t="shared" si="2"/>
        <v>440105.76770481974</v>
      </c>
      <c r="AN32" s="7">
        <f t="shared" si="2"/>
        <v>453308.94073596434</v>
      </c>
      <c r="AO32" s="7">
        <f t="shared" ref="AO32:BJ32" si="3">SUM(AO33:AO37)</f>
        <v>466908.20895804325</v>
      </c>
      <c r="AP32" s="7">
        <f t="shared" si="3"/>
        <v>480915.45522678463</v>
      </c>
      <c r="AQ32" s="7">
        <f t="shared" si="3"/>
        <v>495342.91888358817</v>
      </c>
      <c r="AR32" s="7">
        <f t="shared" si="3"/>
        <v>510203.20645009587</v>
      </c>
      <c r="AS32" s="7">
        <f t="shared" si="3"/>
        <v>525509.30264359864</v>
      </c>
      <c r="AT32" s="7">
        <f t="shared" si="3"/>
        <v>541274.58172290667</v>
      </c>
      <c r="AU32" s="7">
        <f t="shared" si="3"/>
        <v>557512.8191745939</v>
      </c>
      <c r="AV32" s="7">
        <f t="shared" si="3"/>
        <v>574238.20374983177</v>
      </c>
      <c r="AW32" s="7">
        <f t="shared" si="3"/>
        <v>591465.34986232664</v>
      </c>
      <c r="AX32" s="7">
        <f t="shared" si="3"/>
        <v>609209.3103581965</v>
      </c>
      <c r="AY32" s="7">
        <f t="shared" si="3"/>
        <v>627485.5896689425</v>
      </c>
      <c r="AZ32" s="7">
        <f t="shared" si="3"/>
        <v>646310.15735901066</v>
      </c>
      <c r="BA32" s="7">
        <f t="shared" si="3"/>
        <v>665699.46207978111</v>
      </c>
      <c r="BB32" s="7">
        <f t="shared" si="3"/>
        <v>685670.44594217453</v>
      </c>
      <c r="BC32" s="7">
        <f t="shared" si="3"/>
        <v>706240.5593204397</v>
      </c>
      <c r="BD32" s="7">
        <f t="shared" si="3"/>
        <v>727427.77610005287</v>
      </c>
      <c r="BE32" s="7">
        <f t="shared" si="3"/>
        <v>749250.60938305454</v>
      </c>
      <c r="BF32" s="7">
        <f t="shared" si="3"/>
        <v>771728.12766454625</v>
      </c>
      <c r="BG32" s="7">
        <f t="shared" si="3"/>
        <v>794879.9714944826</v>
      </c>
      <c r="BH32" s="7">
        <f t="shared" si="3"/>
        <v>818726.3706393172</v>
      </c>
      <c r="BI32" s="7">
        <f t="shared" si="3"/>
        <v>843288.16175849666</v>
      </c>
      <c r="BJ32" s="7">
        <f t="shared" si="3"/>
        <v>868586.80661125155</v>
      </c>
    </row>
    <row r="33" spans="3:62" ht="12" thickTop="1" x14ac:dyDescent="0.15">
      <c r="D33" s="11" t="str">
        <f>Вводные!$D$22</f>
        <v>Income 1</v>
      </c>
      <c r="E33" s="12" t="s">
        <v>110</v>
      </c>
      <c r="I33" s="22">
        <f>Вводные!F22 * Вводные!$F$12</f>
        <v>120000</v>
      </c>
      <c r="J33" s="3">
        <f>$I33 * J40 * J13</f>
        <v>120000</v>
      </c>
      <c r="K33" s="3">
        <f t="shared" ref="K33:BJ33" si="4">$I33 * K40 * K13</f>
        <v>180000</v>
      </c>
      <c r="L33" s="3">
        <f t="shared" si="4"/>
        <v>185400</v>
      </c>
      <c r="M33" s="3">
        <f t="shared" si="4"/>
        <v>190962</v>
      </c>
      <c r="N33" s="3">
        <f t="shared" si="4"/>
        <v>196690.86000000002</v>
      </c>
      <c r="O33" s="3">
        <f t="shared" si="4"/>
        <v>202591.5858</v>
      </c>
      <c r="P33" s="3">
        <f t="shared" si="4"/>
        <v>208669.33337400004</v>
      </c>
      <c r="Q33" s="3">
        <f t="shared" si="4"/>
        <v>214929.41337522003</v>
      </c>
      <c r="R33" s="3">
        <f t="shared" si="4"/>
        <v>221377.29577647662</v>
      </c>
      <c r="S33" s="3">
        <f t="shared" si="4"/>
        <v>228018.61464977093</v>
      </c>
      <c r="T33" s="3">
        <f t="shared" si="4"/>
        <v>234859.17308926405</v>
      </c>
      <c r="U33" s="3">
        <f t="shared" si="4"/>
        <v>241904.94828194199</v>
      </c>
      <c r="V33" s="3">
        <f t="shared" si="4"/>
        <v>249162.09673040023</v>
      </c>
      <c r="W33" s="3">
        <f t="shared" si="4"/>
        <v>256636.95963231224</v>
      </c>
      <c r="X33" s="3">
        <f t="shared" si="4"/>
        <v>264336.06842128158</v>
      </c>
      <c r="Y33" s="3">
        <f t="shared" si="4"/>
        <v>272266.15047392005</v>
      </c>
      <c r="Z33" s="3">
        <f t="shared" si="4"/>
        <v>280434.13498813764</v>
      </c>
      <c r="AA33" s="3">
        <f t="shared" si="4"/>
        <v>288847.15903778176</v>
      </c>
      <c r="AB33" s="3">
        <f t="shared" si="4"/>
        <v>297512.57380891521</v>
      </c>
      <c r="AC33" s="3">
        <f t="shared" si="4"/>
        <v>306437.95102318272</v>
      </c>
      <c r="AD33" s="3">
        <f t="shared" si="4"/>
        <v>315631.08955387818</v>
      </c>
      <c r="AE33" s="3">
        <f t="shared" si="4"/>
        <v>325100.02224049455</v>
      </c>
      <c r="AF33" s="3">
        <f t="shared" si="4"/>
        <v>334853.02290770941</v>
      </c>
      <c r="AG33" s="3">
        <f t="shared" si="4"/>
        <v>344898.61359494069</v>
      </c>
      <c r="AH33" s="3">
        <f t="shared" si="4"/>
        <v>355245.57200278895</v>
      </c>
      <c r="AI33" s="3">
        <f t="shared" si="4"/>
        <v>365902.93916287262</v>
      </c>
      <c r="AJ33" s="3">
        <f t="shared" si="4"/>
        <v>376880.0273377588</v>
      </c>
      <c r="AK33" s="3">
        <f t="shared" si="4"/>
        <v>388186.42815789155</v>
      </c>
      <c r="AL33" s="3">
        <f t="shared" si="4"/>
        <v>399832.02100262832</v>
      </c>
      <c r="AM33" s="3">
        <f t="shared" si="4"/>
        <v>411826.98163270717</v>
      </c>
      <c r="AN33" s="3">
        <f t="shared" si="4"/>
        <v>424181.79108168837</v>
      </c>
      <c r="AO33" s="3">
        <f t="shared" si="4"/>
        <v>436907.24481413903</v>
      </c>
      <c r="AP33" s="3">
        <f t="shared" si="4"/>
        <v>450014.46215856326</v>
      </c>
      <c r="AQ33" s="3">
        <f t="shared" si="4"/>
        <v>463514.89602332015</v>
      </c>
      <c r="AR33" s="3">
        <f t="shared" si="4"/>
        <v>477420.34290401981</v>
      </c>
      <c r="AS33" s="3">
        <f t="shared" si="4"/>
        <v>491742.95319114032</v>
      </c>
      <c r="AT33" s="3">
        <f t="shared" si="4"/>
        <v>506495.2417868746</v>
      </c>
      <c r="AU33" s="3">
        <f t="shared" si="4"/>
        <v>521690.09904048091</v>
      </c>
      <c r="AV33" s="3">
        <f t="shared" si="4"/>
        <v>537340.80201169534</v>
      </c>
      <c r="AW33" s="3">
        <f t="shared" si="4"/>
        <v>553461.02607204614</v>
      </c>
      <c r="AX33" s="3">
        <f t="shared" si="4"/>
        <v>570064.85685420758</v>
      </c>
      <c r="AY33" s="3">
        <f t="shared" si="4"/>
        <v>587166.80255983386</v>
      </c>
      <c r="AZ33" s="3">
        <f t="shared" si="4"/>
        <v>604781.80663662881</v>
      </c>
      <c r="BA33" s="3">
        <f t="shared" si="4"/>
        <v>622925.26083572779</v>
      </c>
      <c r="BB33" s="3">
        <f t="shared" si="4"/>
        <v>641613.0186607996</v>
      </c>
      <c r="BC33" s="3">
        <f t="shared" si="4"/>
        <v>660861.40922062355</v>
      </c>
      <c r="BD33" s="3">
        <f t="shared" si="4"/>
        <v>680687.25149724225</v>
      </c>
      <c r="BE33" s="3">
        <f t="shared" si="4"/>
        <v>701107.86904215952</v>
      </c>
      <c r="BF33" s="3">
        <f t="shared" si="4"/>
        <v>722141.10511342436</v>
      </c>
      <c r="BG33" s="3">
        <f t="shared" si="4"/>
        <v>743805.33826682717</v>
      </c>
      <c r="BH33" s="3">
        <f t="shared" si="4"/>
        <v>766119.49841483205</v>
      </c>
      <c r="BI33" s="3">
        <f t="shared" si="4"/>
        <v>789103.08336727694</v>
      </c>
      <c r="BJ33" s="3">
        <f t="shared" si="4"/>
        <v>812776.17586829525</v>
      </c>
    </row>
    <row r="34" spans="3:62" x14ac:dyDescent="0.15">
      <c r="D34" s="11" t="str">
        <f>Вводные!$D$23</f>
        <v>Income 2</v>
      </c>
      <c r="E34" s="12" t="s">
        <v>110</v>
      </c>
      <c r="I34" s="20">
        <f>Вводные!F23 * Вводные!$F$12</f>
        <v>24000</v>
      </c>
      <c r="J34" s="3">
        <f t="shared" ref="J34:BJ34" si="5">$I34 * J41 * J14</f>
        <v>24000</v>
      </c>
      <c r="K34" s="3">
        <f t="shared" si="5"/>
        <v>0</v>
      </c>
      <c r="L34" s="3">
        <f t="shared" si="5"/>
        <v>0</v>
      </c>
      <c r="M34" s="3">
        <f t="shared" si="5"/>
        <v>0</v>
      </c>
      <c r="N34" s="3">
        <f t="shared" si="5"/>
        <v>0</v>
      </c>
      <c r="O34" s="3">
        <f t="shared" si="5"/>
        <v>0</v>
      </c>
      <c r="P34" s="3">
        <f t="shared" si="5"/>
        <v>0</v>
      </c>
      <c r="Q34" s="3">
        <f t="shared" si="5"/>
        <v>0</v>
      </c>
      <c r="R34" s="3">
        <f t="shared" si="5"/>
        <v>0</v>
      </c>
      <c r="S34" s="3">
        <f t="shared" si="5"/>
        <v>0</v>
      </c>
      <c r="T34" s="3">
        <f t="shared" si="5"/>
        <v>0</v>
      </c>
      <c r="U34" s="3">
        <f t="shared" si="5"/>
        <v>0</v>
      </c>
      <c r="V34" s="3">
        <f t="shared" si="5"/>
        <v>0</v>
      </c>
      <c r="W34" s="3">
        <f t="shared" si="5"/>
        <v>0</v>
      </c>
      <c r="X34" s="3">
        <f t="shared" si="5"/>
        <v>0</v>
      </c>
      <c r="Y34" s="3">
        <f t="shared" si="5"/>
        <v>0</v>
      </c>
      <c r="Z34" s="3">
        <f t="shared" si="5"/>
        <v>0</v>
      </c>
      <c r="AA34" s="3">
        <f t="shared" si="5"/>
        <v>0</v>
      </c>
      <c r="AB34" s="3">
        <f t="shared" si="5"/>
        <v>0</v>
      </c>
      <c r="AC34" s="3">
        <f t="shared" si="5"/>
        <v>0</v>
      </c>
      <c r="AD34" s="3">
        <f t="shared" si="5"/>
        <v>0</v>
      </c>
      <c r="AE34" s="3">
        <f t="shared" si="5"/>
        <v>0</v>
      </c>
      <c r="AF34" s="3">
        <f t="shared" si="5"/>
        <v>0</v>
      </c>
      <c r="AG34" s="3">
        <f t="shared" si="5"/>
        <v>0</v>
      </c>
      <c r="AH34" s="3">
        <f t="shared" si="5"/>
        <v>0</v>
      </c>
      <c r="AI34" s="3">
        <f t="shared" si="5"/>
        <v>0</v>
      </c>
      <c r="AJ34" s="3">
        <f t="shared" si="5"/>
        <v>0</v>
      </c>
      <c r="AK34" s="3">
        <f t="shared" si="5"/>
        <v>0</v>
      </c>
      <c r="AL34" s="3">
        <f t="shared" si="5"/>
        <v>0</v>
      </c>
      <c r="AM34" s="3">
        <f t="shared" si="5"/>
        <v>0</v>
      </c>
      <c r="AN34" s="3">
        <f t="shared" si="5"/>
        <v>0</v>
      </c>
      <c r="AO34" s="3">
        <f t="shared" si="5"/>
        <v>0</v>
      </c>
      <c r="AP34" s="3">
        <f t="shared" si="5"/>
        <v>0</v>
      </c>
      <c r="AQ34" s="3">
        <f t="shared" si="5"/>
        <v>0</v>
      </c>
      <c r="AR34" s="3">
        <f t="shared" si="5"/>
        <v>0</v>
      </c>
      <c r="AS34" s="3">
        <f t="shared" si="5"/>
        <v>0</v>
      </c>
      <c r="AT34" s="3">
        <f t="shared" si="5"/>
        <v>0</v>
      </c>
      <c r="AU34" s="3">
        <f t="shared" si="5"/>
        <v>0</v>
      </c>
      <c r="AV34" s="3">
        <f t="shared" si="5"/>
        <v>0</v>
      </c>
      <c r="AW34" s="3">
        <f t="shared" si="5"/>
        <v>0</v>
      </c>
      <c r="AX34" s="3">
        <f t="shared" si="5"/>
        <v>0</v>
      </c>
      <c r="AY34" s="3">
        <f t="shared" si="5"/>
        <v>0</v>
      </c>
      <c r="AZ34" s="3">
        <f t="shared" si="5"/>
        <v>0</v>
      </c>
      <c r="BA34" s="3">
        <f t="shared" si="5"/>
        <v>0</v>
      </c>
      <c r="BB34" s="3">
        <f t="shared" si="5"/>
        <v>0</v>
      </c>
      <c r="BC34" s="3">
        <f t="shared" si="5"/>
        <v>0</v>
      </c>
      <c r="BD34" s="3">
        <f t="shared" si="5"/>
        <v>0</v>
      </c>
      <c r="BE34" s="3">
        <f t="shared" si="5"/>
        <v>0</v>
      </c>
      <c r="BF34" s="3">
        <f t="shared" si="5"/>
        <v>0</v>
      </c>
      <c r="BG34" s="3">
        <f t="shared" si="5"/>
        <v>0</v>
      </c>
      <c r="BH34" s="3">
        <f t="shared" si="5"/>
        <v>0</v>
      </c>
      <c r="BI34" s="3">
        <f t="shared" si="5"/>
        <v>0</v>
      </c>
      <c r="BJ34" s="3">
        <f t="shared" si="5"/>
        <v>0</v>
      </c>
    </row>
    <row r="35" spans="3:62" x14ac:dyDescent="0.15">
      <c r="D35" s="11" t="str">
        <f>Вводные!$D$24</f>
        <v>Income 3</v>
      </c>
      <c r="E35" s="12" t="s">
        <v>110</v>
      </c>
      <c r="I35" s="20">
        <f>Вводные!F24 * Вводные!$F$12</f>
        <v>12000</v>
      </c>
      <c r="J35" s="3">
        <f t="shared" ref="J35:BJ35" si="6">$I35 * J42 * J15</f>
        <v>12000</v>
      </c>
      <c r="K35" s="3">
        <f t="shared" si="6"/>
        <v>12360</v>
      </c>
      <c r="L35" s="3">
        <f t="shared" si="6"/>
        <v>12730.8</v>
      </c>
      <c r="M35" s="3">
        <f t="shared" si="6"/>
        <v>13112.724</v>
      </c>
      <c r="N35" s="3">
        <f t="shared" si="6"/>
        <v>13506.105720000001</v>
      </c>
      <c r="O35" s="3">
        <f t="shared" si="6"/>
        <v>13911.288891600001</v>
      </c>
      <c r="P35" s="3">
        <f t="shared" si="6"/>
        <v>14328.627558348002</v>
      </c>
      <c r="Q35" s="3">
        <f t="shared" si="6"/>
        <v>14758.486385098442</v>
      </c>
      <c r="R35" s="3">
        <f t="shared" si="6"/>
        <v>15201.240976651396</v>
      </c>
      <c r="S35" s="3">
        <f t="shared" si="6"/>
        <v>15657.278205950939</v>
      </c>
      <c r="T35" s="3">
        <f t="shared" si="6"/>
        <v>16126.996552129467</v>
      </c>
      <c r="U35" s="3">
        <f t="shared" si="6"/>
        <v>16610.806448693351</v>
      </c>
      <c r="V35" s="3">
        <f t="shared" si="6"/>
        <v>17109.130642154152</v>
      </c>
      <c r="W35" s="3">
        <f t="shared" si="6"/>
        <v>17622.404561418778</v>
      </c>
      <c r="X35" s="3">
        <f t="shared" si="6"/>
        <v>18151.076698261342</v>
      </c>
      <c r="Y35" s="3">
        <f t="shared" si="6"/>
        <v>18695.608999209184</v>
      </c>
      <c r="Z35" s="3">
        <f t="shared" si="6"/>
        <v>19256.47726918546</v>
      </c>
      <c r="AA35" s="3">
        <f t="shared" si="6"/>
        <v>19834.171587261026</v>
      </c>
      <c r="AB35" s="3">
        <f t="shared" si="6"/>
        <v>20429.196734878853</v>
      </c>
      <c r="AC35" s="3">
        <f t="shared" si="6"/>
        <v>21042.072636925222</v>
      </c>
      <c r="AD35" s="3">
        <f t="shared" si="6"/>
        <v>21673.334816032981</v>
      </c>
      <c r="AE35" s="3">
        <f t="shared" si="6"/>
        <v>22323.534860513973</v>
      </c>
      <c r="AF35" s="3">
        <f t="shared" si="6"/>
        <v>22993.240906329393</v>
      </c>
      <c r="AG35" s="3">
        <f t="shared" si="6"/>
        <v>23683.038133519276</v>
      </c>
      <c r="AH35" s="3">
        <f t="shared" si="6"/>
        <v>24393.529277524853</v>
      </c>
      <c r="AI35" s="3">
        <f t="shared" si="6"/>
        <v>25125.335155850596</v>
      </c>
      <c r="AJ35" s="3">
        <f t="shared" si="6"/>
        <v>25879.09521052612</v>
      </c>
      <c r="AK35" s="3">
        <f t="shared" si="6"/>
        <v>26655.468066841902</v>
      </c>
      <c r="AL35" s="3">
        <f t="shared" si="6"/>
        <v>27455.13210884716</v>
      </c>
      <c r="AM35" s="3">
        <f t="shared" si="6"/>
        <v>28278.786072112576</v>
      </c>
      <c r="AN35" s="3">
        <f t="shared" si="6"/>
        <v>29127.149654275952</v>
      </c>
      <c r="AO35" s="3">
        <f t="shared" si="6"/>
        <v>30000.964143904228</v>
      </c>
      <c r="AP35" s="3">
        <f t="shared" si="6"/>
        <v>30900.99306822136</v>
      </c>
      <c r="AQ35" s="3">
        <f t="shared" si="6"/>
        <v>31828.022860268</v>
      </c>
      <c r="AR35" s="3">
        <f t="shared" si="6"/>
        <v>32782.863546076042</v>
      </c>
      <c r="AS35" s="3">
        <f t="shared" si="6"/>
        <v>33766.349452458315</v>
      </c>
      <c r="AT35" s="3">
        <f t="shared" si="6"/>
        <v>34779.339936032069</v>
      </c>
      <c r="AU35" s="3">
        <f t="shared" si="6"/>
        <v>35822.720134113028</v>
      </c>
      <c r="AV35" s="3">
        <f t="shared" si="6"/>
        <v>36897.401738136417</v>
      </c>
      <c r="AW35" s="3">
        <f t="shared" si="6"/>
        <v>38004.323790280519</v>
      </c>
      <c r="AX35" s="3">
        <f t="shared" si="6"/>
        <v>39144.453503988931</v>
      </c>
      <c r="AY35" s="3">
        <f t="shared" si="6"/>
        <v>40318.787109108598</v>
      </c>
      <c r="AZ35" s="3">
        <f t="shared" si="6"/>
        <v>41528.35072238186</v>
      </c>
      <c r="BA35" s="3">
        <f t="shared" si="6"/>
        <v>42774.201244053314</v>
      </c>
      <c r="BB35" s="3">
        <f t="shared" si="6"/>
        <v>44057.427281374919</v>
      </c>
      <c r="BC35" s="3">
        <f t="shared" si="6"/>
        <v>45379.150099816172</v>
      </c>
      <c r="BD35" s="3">
        <f t="shared" si="6"/>
        <v>46740.524602810656</v>
      </c>
      <c r="BE35" s="3">
        <f t="shared" si="6"/>
        <v>48142.740340894983</v>
      </c>
      <c r="BF35" s="3">
        <f t="shared" si="6"/>
        <v>49587.02255112183</v>
      </c>
      <c r="BG35" s="3">
        <f t="shared" si="6"/>
        <v>51074.633227655489</v>
      </c>
      <c r="BH35" s="3">
        <f t="shared" si="6"/>
        <v>52606.872224485152</v>
      </c>
      <c r="BI35" s="3">
        <f t="shared" si="6"/>
        <v>54185.078391219708</v>
      </c>
      <c r="BJ35" s="3">
        <f t="shared" si="6"/>
        <v>55810.630742956295</v>
      </c>
    </row>
    <row r="36" spans="3:62" x14ac:dyDescent="0.15">
      <c r="D36" s="11" t="str">
        <f>Вводные!$D$25</f>
        <v>Ежемесячный доход 4</v>
      </c>
      <c r="E36" s="12" t="s">
        <v>110</v>
      </c>
      <c r="I36" s="20">
        <f>Вводные!F25 * Вводные!$F$12</f>
        <v>0</v>
      </c>
      <c r="J36" s="3">
        <f t="shared" ref="J36:BJ36" si="7">$I36 * J43 * J16</f>
        <v>0</v>
      </c>
      <c r="K36" s="3">
        <f t="shared" si="7"/>
        <v>0</v>
      </c>
      <c r="L36" s="3">
        <f t="shared" si="7"/>
        <v>0</v>
      </c>
      <c r="M36" s="3">
        <f t="shared" si="7"/>
        <v>0</v>
      </c>
      <c r="N36" s="3">
        <f t="shared" si="7"/>
        <v>0</v>
      </c>
      <c r="O36" s="3">
        <f t="shared" si="7"/>
        <v>0</v>
      </c>
      <c r="P36" s="3">
        <f t="shared" si="7"/>
        <v>0</v>
      </c>
      <c r="Q36" s="3">
        <f t="shared" si="7"/>
        <v>0</v>
      </c>
      <c r="R36" s="3">
        <f t="shared" si="7"/>
        <v>0</v>
      </c>
      <c r="S36" s="3">
        <f t="shared" si="7"/>
        <v>0</v>
      </c>
      <c r="T36" s="3">
        <f t="shared" si="7"/>
        <v>0</v>
      </c>
      <c r="U36" s="3">
        <f t="shared" si="7"/>
        <v>0</v>
      </c>
      <c r="V36" s="3">
        <f t="shared" si="7"/>
        <v>0</v>
      </c>
      <c r="W36" s="3">
        <f t="shared" si="7"/>
        <v>0</v>
      </c>
      <c r="X36" s="3">
        <f t="shared" si="7"/>
        <v>0</v>
      </c>
      <c r="Y36" s="3">
        <f t="shared" si="7"/>
        <v>0</v>
      </c>
      <c r="Z36" s="3">
        <f t="shared" si="7"/>
        <v>0</v>
      </c>
      <c r="AA36" s="3">
        <f t="shared" si="7"/>
        <v>0</v>
      </c>
      <c r="AB36" s="3">
        <f t="shared" si="7"/>
        <v>0</v>
      </c>
      <c r="AC36" s="3">
        <f t="shared" si="7"/>
        <v>0</v>
      </c>
      <c r="AD36" s="3">
        <f t="shared" si="7"/>
        <v>0</v>
      </c>
      <c r="AE36" s="3">
        <f t="shared" si="7"/>
        <v>0</v>
      </c>
      <c r="AF36" s="3">
        <f t="shared" si="7"/>
        <v>0</v>
      </c>
      <c r="AG36" s="3">
        <f t="shared" si="7"/>
        <v>0</v>
      </c>
      <c r="AH36" s="3">
        <f t="shared" si="7"/>
        <v>0</v>
      </c>
      <c r="AI36" s="3">
        <f t="shared" si="7"/>
        <v>0</v>
      </c>
      <c r="AJ36" s="3">
        <f t="shared" si="7"/>
        <v>0</v>
      </c>
      <c r="AK36" s="3">
        <f t="shared" si="7"/>
        <v>0</v>
      </c>
      <c r="AL36" s="3">
        <f t="shared" si="7"/>
        <v>0</v>
      </c>
      <c r="AM36" s="3">
        <f t="shared" si="7"/>
        <v>0</v>
      </c>
      <c r="AN36" s="3">
        <f t="shared" si="7"/>
        <v>0</v>
      </c>
      <c r="AO36" s="3">
        <f t="shared" si="7"/>
        <v>0</v>
      </c>
      <c r="AP36" s="3">
        <f t="shared" si="7"/>
        <v>0</v>
      </c>
      <c r="AQ36" s="3">
        <f t="shared" si="7"/>
        <v>0</v>
      </c>
      <c r="AR36" s="3">
        <f t="shared" si="7"/>
        <v>0</v>
      </c>
      <c r="AS36" s="3">
        <f t="shared" si="7"/>
        <v>0</v>
      </c>
      <c r="AT36" s="3">
        <f t="shared" si="7"/>
        <v>0</v>
      </c>
      <c r="AU36" s="3">
        <f t="shared" si="7"/>
        <v>0</v>
      </c>
      <c r="AV36" s="3">
        <f t="shared" si="7"/>
        <v>0</v>
      </c>
      <c r="AW36" s="3">
        <f t="shared" si="7"/>
        <v>0</v>
      </c>
      <c r="AX36" s="3">
        <f t="shared" si="7"/>
        <v>0</v>
      </c>
      <c r="AY36" s="3">
        <f t="shared" si="7"/>
        <v>0</v>
      </c>
      <c r="AZ36" s="3">
        <f t="shared" si="7"/>
        <v>0</v>
      </c>
      <c r="BA36" s="3">
        <f t="shared" si="7"/>
        <v>0</v>
      </c>
      <c r="BB36" s="3">
        <f t="shared" si="7"/>
        <v>0</v>
      </c>
      <c r="BC36" s="3">
        <f t="shared" si="7"/>
        <v>0</v>
      </c>
      <c r="BD36" s="3">
        <f t="shared" si="7"/>
        <v>0</v>
      </c>
      <c r="BE36" s="3">
        <f t="shared" si="7"/>
        <v>0</v>
      </c>
      <c r="BF36" s="3">
        <f t="shared" si="7"/>
        <v>0</v>
      </c>
      <c r="BG36" s="3">
        <f t="shared" si="7"/>
        <v>0</v>
      </c>
      <c r="BH36" s="3">
        <f t="shared" si="7"/>
        <v>0</v>
      </c>
      <c r="BI36" s="3">
        <f t="shared" si="7"/>
        <v>0</v>
      </c>
      <c r="BJ36" s="3">
        <f t="shared" si="7"/>
        <v>0</v>
      </c>
    </row>
    <row r="37" spans="3:62" x14ac:dyDescent="0.15">
      <c r="D37" s="11" t="str">
        <f>Вводные!$D$26</f>
        <v>Ежемесячный доход 5</v>
      </c>
      <c r="E37" s="12" t="s">
        <v>110</v>
      </c>
      <c r="I37" s="20">
        <f>Вводные!F26 * Вводные!$F$12</f>
        <v>0</v>
      </c>
      <c r="J37" s="3">
        <f t="shared" ref="J37:BJ37" si="8">$I37 * J44 * J17</f>
        <v>0</v>
      </c>
      <c r="K37" s="3">
        <f t="shared" si="8"/>
        <v>0</v>
      </c>
      <c r="L37" s="3">
        <f t="shared" si="8"/>
        <v>0</v>
      </c>
      <c r="M37" s="3">
        <f t="shared" si="8"/>
        <v>0</v>
      </c>
      <c r="N37" s="3">
        <f t="shared" si="8"/>
        <v>0</v>
      </c>
      <c r="O37" s="3">
        <f t="shared" si="8"/>
        <v>0</v>
      </c>
      <c r="P37" s="3">
        <f t="shared" si="8"/>
        <v>0</v>
      </c>
      <c r="Q37" s="3">
        <f t="shared" si="8"/>
        <v>0</v>
      </c>
      <c r="R37" s="3">
        <f t="shared" si="8"/>
        <v>0</v>
      </c>
      <c r="S37" s="3">
        <f t="shared" si="8"/>
        <v>0</v>
      </c>
      <c r="T37" s="3">
        <f t="shared" si="8"/>
        <v>0</v>
      </c>
      <c r="U37" s="3">
        <f t="shared" si="8"/>
        <v>0</v>
      </c>
      <c r="V37" s="3">
        <f t="shared" si="8"/>
        <v>0</v>
      </c>
      <c r="W37" s="3">
        <f t="shared" si="8"/>
        <v>0</v>
      </c>
      <c r="X37" s="3">
        <f t="shared" si="8"/>
        <v>0</v>
      </c>
      <c r="Y37" s="3">
        <f t="shared" si="8"/>
        <v>0</v>
      </c>
      <c r="Z37" s="3">
        <f t="shared" si="8"/>
        <v>0</v>
      </c>
      <c r="AA37" s="3">
        <f t="shared" si="8"/>
        <v>0</v>
      </c>
      <c r="AB37" s="3">
        <f t="shared" si="8"/>
        <v>0</v>
      </c>
      <c r="AC37" s="3">
        <f t="shared" si="8"/>
        <v>0</v>
      </c>
      <c r="AD37" s="3">
        <f t="shared" si="8"/>
        <v>0</v>
      </c>
      <c r="AE37" s="3">
        <f t="shared" si="8"/>
        <v>0</v>
      </c>
      <c r="AF37" s="3">
        <f t="shared" si="8"/>
        <v>0</v>
      </c>
      <c r="AG37" s="3">
        <f t="shared" si="8"/>
        <v>0</v>
      </c>
      <c r="AH37" s="3">
        <f t="shared" si="8"/>
        <v>0</v>
      </c>
      <c r="AI37" s="3">
        <f t="shared" si="8"/>
        <v>0</v>
      </c>
      <c r="AJ37" s="3">
        <f t="shared" si="8"/>
        <v>0</v>
      </c>
      <c r="AK37" s="3">
        <f t="shared" si="8"/>
        <v>0</v>
      </c>
      <c r="AL37" s="3">
        <f t="shared" si="8"/>
        <v>0</v>
      </c>
      <c r="AM37" s="3">
        <f t="shared" si="8"/>
        <v>0</v>
      </c>
      <c r="AN37" s="3">
        <f t="shared" si="8"/>
        <v>0</v>
      </c>
      <c r="AO37" s="3">
        <f t="shared" si="8"/>
        <v>0</v>
      </c>
      <c r="AP37" s="3">
        <f t="shared" si="8"/>
        <v>0</v>
      </c>
      <c r="AQ37" s="3">
        <f t="shared" si="8"/>
        <v>0</v>
      </c>
      <c r="AR37" s="3">
        <f t="shared" si="8"/>
        <v>0</v>
      </c>
      <c r="AS37" s="3">
        <f t="shared" si="8"/>
        <v>0</v>
      </c>
      <c r="AT37" s="3">
        <f t="shared" si="8"/>
        <v>0</v>
      </c>
      <c r="AU37" s="3">
        <f t="shared" si="8"/>
        <v>0</v>
      </c>
      <c r="AV37" s="3">
        <f t="shared" si="8"/>
        <v>0</v>
      </c>
      <c r="AW37" s="3">
        <f t="shared" si="8"/>
        <v>0</v>
      </c>
      <c r="AX37" s="3">
        <f t="shared" si="8"/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3">
        <f t="shared" si="8"/>
        <v>0</v>
      </c>
      <c r="BC37" s="3">
        <f t="shared" si="8"/>
        <v>0</v>
      </c>
      <c r="BD37" s="3">
        <f t="shared" si="8"/>
        <v>0</v>
      </c>
      <c r="BE37" s="3">
        <f t="shared" si="8"/>
        <v>0</v>
      </c>
      <c r="BF37" s="3">
        <f t="shared" si="8"/>
        <v>0</v>
      </c>
      <c r="BG37" s="3">
        <f t="shared" si="8"/>
        <v>0</v>
      </c>
      <c r="BH37" s="3">
        <f t="shared" si="8"/>
        <v>0</v>
      </c>
      <c r="BI37" s="3">
        <f t="shared" si="8"/>
        <v>0</v>
      </c>
      <c r="BJ37" s="3">
        <f t="shared" si="8"/>
        <v>0</v>
      </c>
    </row>
    <row r="39" spans="3:62" x14ac:dyDescent="0.15">
      <c r="D39" s="8" t="s">
        <v>9</v>
      </c>
    </row>
    <row r="40" spans="3:62" x14ac:dyDescent="0.15">
      <c r="D40" s="9" t="str">
        <f>Вводные!$D$36</f>
        <v>Темп роста Income 1</v>
      </c>
      <c r="E40" s="12" t="s">
        <v>4</v>
      </c>
      <c r="I40" s="21">
        <v>1</v>
      </c>
      <c r="J40" s="5">
        <f>I40 * (1+Вводные!J36)</f>
        <v>1</v>
      </c>
      <c r="K40" s="5">
        <f>J40 * (1+Вводные!K36)</f>
        <v>1.5</v>
      </c>
      <c r="L40" s="5">
        <f>K40 * (1+Вводные!L36)</f>
        <v>1.5449999999999999</v>
      </c>
      <c r="M40" s="5">
        <f>L40 * (1+Вводные!M36)</f>
        <v>1.59135</v>
      </c>
      <c r="N40" s="5">
        <f>M40 * (1+Вводные!N36)</f>
        <v>1.6390905</v>
      </c>
      <c r="O40" s="5">
        <f>N40 * (1+Вводные!O36)</f>
        <v>1.6882632150000001</v>
      </c>
      <c r="P40" s="5">
        <f>O40 * (1+Вводные!P36)</f>
        <v>1.7389111114500002</v>
      </c>
      <c r="Q40" s="5">
        <f>P40 * (1+Вводные!Q36)</f>
        <v>1.7910784447935002</v>
      </c>
      <c r="R40" s="5">
        <f>Q40 * (1+Вводные!R36)</f>
        <v>1.8448107981373052</v>
      </c>
      <c r="S40" s="5">
        <f>R40 * (1+Вводные!S36)</f>
        <v>1.9001551220814243</v>
      </c>
      <c r="T40" s="5">
        <f>S40 * (1+Вводные!T36)</f>
        <v>1.957159775743867</v>
      </c>
      <c r="U40" s="5">
        <f>T40 * (1+Вводные!U36)</f>
        <v>2.0158745690161832</v>
      </c>
      <c r="V40" s="5">
        <f>U40 * (1+Вводные!V36)</f>
        <v>2.0763508060866687</v>
      </c>
      <c r="W40" s="5">
        <f>V40 * (1+Вводные!W36)</f>
        <v>2.1386413302692686</v>
      </c>
      <c r="X40" s="5">
        <f>W40 * (1+Вводные!X36)</f>
        <v>2.2028005701773465</v>
      </c>
      <c r="Y40" s="5">
        <f>X40 * (1+Вводные!Y36)</f>
        <v>2.2688845872826668</v>
      </c>
      <c r="Z40" s="5">
        <f>Y40 * (1+Вводные!Z36)</f>
        <v>2.3369511249011468</v>
      </c>
      <c r="AA40" s="5">
        <f>Z40 * (1+Вводные!AA36)</f>
        <v>2.4070596586481812</v>
      </c>
      <c r="AB40" s="5">
        <f>AA40 * (1+Вводные!AB36)</f>
        <v>2.4792714484076268</v>
      </c>
      <c r="AC40" s="5">
        <f>AB40 * (1+Вводные!AC36)</f>
        <v>2.5536495918598558</v>
      </c>
      <c r="AD40" s="5">
        <f>AC40 * (1+Вводные!AD36)</f>
        <v>2.6302590796156515</v>
      </c>
      <c r="AE40" s="5">
        <f>AD40 * (1+Вводные!AE36)</f>
        <v>2.7091668520041212</v>
      </c>
      <c r="AF40" s="5">
        <f>AE40 * (1+Вводные!AF36)</f>
        <v>2.7904418575642449</v>
      </c>
      <c r="AG40" s="5">
        <f>AF40 * (1+Вводные!AG36)</f>
        <v>2.8741551132911725</v>
      </c>
      <c r="AH40" s="5">
        <f>AG40 * (1+Вводные!AH36)</f>
        <v>2.9603797666899077</v>
      </c>
      <c r="AI40" s="5">
        <f>AH40 * (1+Вводные!AI36)</f>
        <v>3.0491911596906052</v>
      </c>
      <c r="AJ40" s="5">
        <f>AI40 * (1+Вводные!AJ36)</f>
        <v>3.1406668944813232</v>
      </c>
      <c r="AK40" s="5">
        <f>AJ40 * (1+Вводные!AK36)</f>
        <v>3.2348869013157628</v>
      </c>
      <c r="AL40" s="5">
        <f>AK40 * (1+Вводные!AL36)</f>
        <v>3.3319335083552359</v>
      </c>
      <c r="AM40" s="5">
        <f>AL40 * (1+Вводные!AM36)</f>
        <v>3.4318915136058932</v>
      </c>
      <c r="AN40" s="5">
        <f>AM40 * (1+Вводные!AN36)</f>
        <v>3.53484825901407</v>
      </c>
      <c r="AO40" s="5">
        <f>AN40 * (1+Вводные!AO36)</f>
        <v>3.640893706784492</v>
      </c>
      <c r="AP40" s="5">
        <f>AO40 * (1+Вводные!AP36)</f>
        <v>3.750120517988027</v>
      </c>
      <c r="AQ40" s="5">
        <f>AP40 * (1+Вводные!AQ36)</f>
        <v>3.8626241335276679</v>
      </c>
      <c r="AR40" s="5">
        <f>AQ40 * (1+Вводные!AR36)</f>
        <v>3.9785028575334982</v>
      </c>
      <c r="AS40" s="5">
        <f>AR40 * (1+Вводные!AS36)</f>
        <v>4.0978579432595028</v>
      </c>
      <c r="AT40" s="5">
        <f>AS40 * (1+Вводные!AT36)</f>
        <v>4.2207936815572884</v>
      </c>
      <c r="AU40" s="5">
        <f>AT40 * (1+Вводные!AU36)</f>
        <v>4.3474174920040074</v>
      </c>
      <c r="AV40" s="5">
        <f>AU40 * (1+Вводные!AV36)</f>
        <v>4.4778400167641275</v>
      </c>
      <c r="AW40" s="5">
        <f>AV40 * (1+Вводные!AW36)</f>
        <v>4.6121752172670512</v>
      </c>
      <c r="AX40" s="5">
        <f>AW40 * (1+Вводные!AX36)</f>
        <v>4.7505404737850627</v>
      </c>
      <c r="AY40" s="5">
        <f>AX40 * (1+Вводные!AY36)</f>
        <v>4.893056687998615</v>
      </c>
      <c r="AZ40" s="5">
        <f>AY40 * (1+Вводные!AZ36)</f>
        <v>5.0398483886385739</v>
      </c>
      <c r="BA40" s="5">
        <f>AZ40 * (1+Вводные!BA36)</f>
        <v>5.1910438402977315</v>
      </c>
      <c r="BB40" s="5">
        <f>BA40 * (1+Вводные!BB36)</f>
        <v>5.3467751555066636</v>
      </c>
      <c r="BC40" s="5">
        <f>BB40 * (1+Вводные!BC36)</f>
        <v>5.5071784101718633</v>
      </c>
      <c r="BD40" s="5">
        <f>BC40 * (1+Вводные!BD36)</f>
        <v>5.6723937624770189</v>
      </c>
      <c r="BE40" s="5">
        <f>BD40 * (1+Вводные!BE36)</f>
        <v>5.8425655753513297</v>
      </c>
      <c r="BF40" s="5">
        <f>BE40 * (1+Вводные!BF36)</f>
        <v>6.01784254261187</v>
      </c>
      <c r="BG40" s="5">
        <f>BF40 * (1+Вводные!BG36)</f>
        <v>6.1983778188902265</v>
      </c>
      <c r="BH40" s="5">
        <f>BG40 * (1+Вводные!BH36)</f>
        <v>6.3843291534569335</v>
      </c>
      <c r="BI40" s="5">
        <f>BH40 * (1+Вводные!BI36)</f>
        <v>6.5758590280606413</v>
      </c>
      <c r="BJ40" s="5">
        <f>BI40 * (1+Вводные!BJ36)</f>
        <v>6.7731347989024604</v>
      </c>
    </row>
    <row r="41" spans="3:62" x14ac:dyDescent="0.15">
      <c r="D41" s="9" t="str">
        <f>Вводные!$D$37</f>
        <v>Темп роста Income 2</v>
      </c>
      <c r="E41" s="12" t="s">
        <v>4</v>
      </c>
      <c r="I41" s="23">
        <v>1</v>
      </c>
      <c r="J41" s="5">
        <f>I41 * (1+Вводные!J37)</f>
        <v>1</v>
      </c>
      <c r="K41" s="5">
        <f>J41 * (1+Вводные!K37)</f>
        <v>1</v>
      </c>
      <c r="L41" s="5">
        <f>K41 * (1+Вводные!L37)</f>
        <v>1</v>
      </c>
      <c r="M41" s="5">
        <f>L41 * (1+Вводные!M37)</f>
        <v>1</v>
      </c>
      <c r="N41" s="5">
        <f>M41 * (1+Вводные!N37)</f>
        <v>1</v>
      </c>
      <c r="O41" s="5">
        <f>N41 * (1+Вводные!O37)</f>
        <v>1</v>
      </c>
      <c r="P41" s="5">
        <f>O41 * (1+Вводные!P37)</f>
        <v>1</v>
      </c>
      <c r="Q41" s="5">
        <f>P41 * (1+Вводные!Q37)</f>
        <v>1</v>
      </c>
      <c r="R41" s="5">
        <f>Q41 * (1+Вводные!R37)</f>
        <v>1</v>
      </c>
      <c r="S41" s="5">
        <f>R41 * (1+Вводные!S37)</f>
        <v>1</v>
      </c>
      <c r="T41" s="5">
        <f>S41 * (1+Вводные!T37)</f>
        <v>1</v>
      </c>
      <c r="U41" s="5">
        <f>T41 * (1+Вводные!U37)</f>
        <v>1</v>
      </c>
      <c r="V41" s="5">
        <f>U41 * (1+Вводные!V37)</f>
        <v>1</v>
      </c>
      <c r="W41" s="5">
        <f>V41 * (1+Вводные!W37)</f>
        <v>1</v>
      </c>
      <c r="X41" s="5">
        <f>W41 * (1+Вводные!X37)</f>
        <v>1</v>
      </c>
      <c r="Y41" s="5">
        <f>X41 * (1+Вводные!Y37)</f>
        <v>1</v>
      </c>
      <c r="Z41" s="5">
        <f>Y41 * (1+Вводные!Z37)</f>
        <v>1</v>
      </c>
      <c r="AA41" s="5">
        <f>Z41 * (1+Вводные!AA37)</f>
        <v>1</v>
      </c>
      <c r="AB41" s="5">
        <f>AA41 * (1+Вводные!AB37)</f>
        <v>1</v>
      </c>
      <c r="AC41" s="5">
        <f>AB41 * (1+Вводные!AC37)</f>
        <v>1</v>
      </c>
      <c r="AD41" s="5">
        <f>AC41 * (1+Вводные!AD37)</f>
        <v>1</v>
      </c>
      <c r="AE41" s="5">
        <f>AD41 * (1+Вводные!AE37)</f>
        <v>1</v>
      </c>
      <c r="AF41" s="5">
        <f>AE41 * (1+Вводные!AF37)</f>
        <v>1</v>
      </c>
      <c r="AG41" s="5">
        <f>AF41 * (1+Вводные!AG37)</f>
        <v>1</v>
      </c>
      <c r="AH41" s="5">
        <f>AG41 * (1+Вводные!AH37)</f>
        <v>1</v>
      </c>
      <c r="AI41" s="5">
        <f>AH41 * (1+Вводные!AI37)</f>
        <v>1</v>
      </c>
      <c r="AJ41" s="5">
        <f>AI41 * (1+Вводные!AJ37)</f>
        <v>1</v>
      </c>
      <c r="AK41" s="5">
        <f>AJ41 * (1+Вводные!AK37)</f>
        <v>1</v>
      </c>
      <c r="AL41" s="5">
        <f>AK41 * (1+Вводные!AL37)</f>
        <v>1</v>
      </c>
      <c r="AM41" s="5">
        <f>AL41 * (1+Вводные!AM37)</f>
        <v>1</v>
      </c>
      <c r="AN41" s="5">
        <f>AM41 * (1+Вводные!AN37)</f>
        <v>1</v>
      </c>
      <c r="AO41" s="5">
        <f>AN41 * (1+Вводные!AO37)</f>
        <v>1</v>
      </c>
      <c r="AP41" s="5">
        <f>AO41 * (1+Вводные!AP37)</f>
        <v>1</v>
      </c>
      <c r="AQ41" s="5">
        <f>AP41 * (1+Вводные!AQ37)</f>
        <v>1</v>
      </c>
      <c r="AR41" s="5">
        <f>AQ41 * (1+Вводные!AR37)</f>
        <v>1</v>
      </c>
      <c r="AS41" s="5">
        <f>AR41 * (1+Вводные!AS37)</f>
        <v>1</v>
      </c>
      <c r="AT41" s="5">
        <f>AS41 * (1+Вводные!AT37)</f>
        <v>1</v>
      </c>
      <c r="AU41" s="5">
        <f>AT41 * (1+Вводные!AU37)</f>
        <v>1</v>
      </c>
      <c r="AV41" s="5">
        <f>AU41 * (1+Вводные!AV37)</f>
        <v>1</v>
      </c>
      <c r="AW41" s="5">
        <f>AV41 * (1+Вводные!AW37)</f>
        <v>1</v>
      </c>
      <c r="AX41" s="5">
        <f>AW41 * (1+Вводные!AX37)</f>
        <v>1</v>
      </c>
      <c r="AY41" s="5">
        <f>AX41 * (1+Вводные!AY37)</f>
        <v>1</v>
      </c>
      <c r="AZ41" s="5">
        <f>AY41 * (1+Вводные!AZ37)</f>
        <v>1</v>
      </c>
      <c r="BA41" s="5">
        <f>AZ41 * (1+Вводные!BA37)</f>
        <v>1</v>
      </c>
      <c r="BB41" s="5">
        <f>BA41 * (1+Вводные!BB37)</f>
        <v>1</v>
      </c>
      <c r="BC41" s="5">
        <f>BB41 * (1+Вводные!BC37)</f>
        <v>1</v>
      </c>
      <c r="BD41" s="5">
        <f>BC41 * (1+Вводные!BD37)</f>
        <v>1</v>
      </c>
      <c r="BE41" s="5">
        <f>BD41 * (1+Вводные!BE37)</f>
        <v>1</v>
      </c>
      <c r="BF41" s="5">
        <f>BE41 * (1+Вводные!BF37)</f>
        <v>1</v>
      </c>
      <c r="BG41" s="5">
        <f>BF41 * (1+Вводные!BG37)</f>
        <v>1</v>
      </c>
      <c r="BH41" s="5">
        <f>BG41 * (1+Вводные!BH37)</f>
        <v>1</v>
      </c>
      <c r="BI41" s="5">
        <f>BH41 * (1+Вводные!BI37)</f>
        <v>1</v>
      </c>
      <c r="BJ41" s="5">
        <f>BI41 * (1+Вводные!BJ37)</f>
        <v>1</v>
      </c>
    </row>
    <row r="42" spans="3:62" x14ac:dyDescent="0.15">
      <c r="D42" s="9" t="str">
        <f>Вводные!$D$38</f>
        <v>Темп роста Income 3</v>
      </c>
      <c r="E42" s="12" t="s">
        <v>4</v>
      </c>
      <c r="I42" s="21">
        <v>1</v>
      </c>
      <c r="J42" s="5">
        <f>I42 * (1+Вводные!J38)</f>
        <v>1</v>
      </c>
      <c r="K42" s="5">
        <f>J42 * (1+Вводные!K38)</f>
        <v>1.03</v>
      </c>
      <c r="L42" s="5">
        <f>K42 * (1+Вводные!L38)</f>
        <v>1.0609</v>
      </c>
      <c r="M42" s="5">
        <f>L42 * (1+Вводные!M38)</f>
        <v>1.092727</v>
      </c>
      <c r="N42" s="5">
        <f>M42 * (1+Вводные!N38)</f>
        <v>1.1255088100000001</v>
      </c>
      <c r="O42" s="5">
        <f>N42 * (1+Вводные!O38)</f>
        <v>1.1592740743000001</v>
      </c>
      <c r="P42" s="5">
        <f>O42 * (1+Вводные!P38)</f>
        <v>1.1940522965290001</v>
      </c>
      <c r="Q42" s="5">
        <f>P42 * (1+Вводные!Q38)</f>
        <v>1.2298738654248702</v>
      </c>
      <c r="R42" s="5">
        <f>Q42 * (1+Вводные!R38)</f>
        <v>1.2667700813876164</v>
      </c>
      <c r="S42" s="5">
        <f>R42 * (1+Вводные!S38)</f>
        <v>1.3047731838292449</v>
      </c>
      <c r="T42" s="5">
        <f>S42 * (1+Вводные!T38)</f>
        <v>1.3439163793441222</v>
      </c>
      <c r="U42" s="5">
        <f>T42 * (1+Вводные!U38)</f>
        <v>1.3842338707244459</v>
      </c>
      <c r="V42" s="5">
        <f>U42 * (1+Вводные!V38)</f>
        <v>1.4257608868461793</v>
      </c>
      <c r="W42" s="5">
        <f>V42 * (1+Вводные!W38)</f>
        <v>1.4685337134515648</v>
      </c>
      <c r="X42" s="5">
        <f>W42 * (1+Вводные!X38)</f>
        <v>1.5125897248551119</v>
      </c>
      <c r="Y42" s="5">
        <f>X42 * (1+Вводные!Y38)</f>
        <v>1.5579674166007653</v>
      </c>
      <c r="Z42" s="5">
        <f>Y42 * (1+Вводные!Z38)</f>
        <v>1.6047064390987884</v>
      </c>
      <c r="AA42" s="5">
        <f>Z42 * (1+Вводные!AA38)</f>
        <v>1.652847632271752</v>
      </c>
      <c r="AB42" s="5">
        <f>AA42 * (1+Вводные!AB38)</f>
        <v>1.7024330612399046</v>
      </c>
      <c r="AC42" s="5">
        <f>AB42 * (1+Вводные!AC38)</f>
        <v>1.7535060530771018</v>
      </c>
      <c r="AD42" s="5">
        <f>AC42 * (1+Вводные!AD38)</f>
        <v>1.806111234669415</v>
      </c>
      <c r="AE42" s="5">
        <f>AD42 * (1+Вводные!AE38)</f>
        <v>1.8602945717094976</v>
      </c>
      <c r="AF42" s="5">
        <f>AE42 * (1+Вводные!AF38)</f>
        <v>1.9161034088607827</v>
      </c>
      <c r="AG42" s="5">
        <f>AF42 * (1+Вводные!AG38)</f>
        <v>1.9735865111266062</v>
      </c>
      <c r="AH42" s="5">
        <f>AG42 * (1+Вводные!AH38)</f>
        <v>2.0327941064604045</v>
      </c>
      <c r="AI42" s="5">
        <f>AH42 * (1+Вводные!AI38)</f>
        <v>2.0937779296542165</v>
      </c>
      <c r="AJ42" s="5">
        <f>AI42 * (1+Вводные!AJ38)</f>
        <v>2.1565912675438432</v>
      </c>
      <c r="AK42" s="5">
        <f>AJ42 * (1+Вводные!AK38)</f>
        <v>2.2212890055701586</v>
      </c>
      <c r="AL42" s="5">
        <f>AK42 * (1+Вводные!AL38)</f>
        <v>2.2879276757372633</v>
      </c>
      <c r="AM42" s="5">
        <f>AL42 * (1+Вводные!AM38)</f>
        <v>2.3565655060093813</v>
      </c>
      <c r="AN42" s="5">
        <f>AM42 * (1+Вводные!AN38)</f>
        <v>2.4272624711896627</v>
      </c>
      <c r="AO42" s="5">
        <f>AN42 * (1+Вводные!AO38)</f>
        <v>2.5000803453253524</v>
      </c>
      <c r="AP42" s="5">
        <f>AO42 * (1+Вводные!AP38)</f>
        <v>2.5750827556851132</v>
      </c>
      <c r="AQ42" s="5">
        <f>AP42 * (1+Вводные!AQ38)</f>
        <v>2.6523352383556666</v>
      </c>
      <c r="AR42" s="5">
        <f>AQ42 * (1+Вводные!AR38)</f>
        <v>2.7319052955063365</v>
      </c>
      <c r="AS42" s="5">
        <f>AR42 * (1+Вводные!AS38)</f>
        <v>2.8138624543715265</v>
      </c>
      <c r="AT42" s="5">
        <f>AS42 * (1+Вводные!AT38)</f>
        <v>2.8982783280026725</v>
      </c>
      <c r="AU42" s="5">
        <f>AT42 * (1+Вводные!AU38)</f>
        <v>2.9852266778427525</v>
      </c>
      <c r="AV42" s="5">
        <f>AU42 * (1+Вводные!AV38)</f>
        <v>3.074783478178035</v>
      </c>
      <c r="AW42" s="5">
        <f>AV42 * (1+Вводные!AW38)</f>
        <v>3.1670269825233763</v>
      </c>
      <c r="AX42" s="5">
        <f>AW42 * (1+Вводные!AX38)</f>
        <v>3.2620377919990777</v>
      </c>
      <c r="AY42" s="5">
        <f>AX42 * (1+Вводные!AY38)</f>
        <v>3.3598989257590501</v>
      </c>
      <c r="AZ42" s="5">
        <f>AY42 * (1+Вводные!AZ38)</f>
        <v>3.4606958935318217</v>
      </c>
      <c r="BA42" s="5">
        <f>AZ42 * (1+Вводные!BA38)</f>
        <v>3.5645167703377765</v>
      </c>
      <c r="BB42" s="5">
        <f>BA42 * (1+Вводные!BB38)</f>
        <v>3.67145227344791</v>
      </c>
      <c r="BC42" s="5">
        <f>BB42 * (1+Вводные!BC38)</f>
        <v>3.7815958416513475</v>
      </c>
      <c r="BD42" s="5">
        <f>BC42 * (1+Вводные!BD38)</f>
        <v>3.8950437169008882</v>
      </c>
      <c r="BE42" s="5">
        <f>BD42 * (1+Вводные!BE38)</f>
        <v>4.0118950284079151</v>
      </c>
      <c r="BF42" s="5">
        <f>BE42 * (1+Вводные!BF38)</f>
        <v>4.1322518792601528</v>
      </c>
      <c r="BG42" s="5">
        <f>BF42 * (1+Вводные!BG38)</f>
        <v>4.2562194356379575</v>
      </c>
      <c r="BH42" s="5">
        <f>BG42 * (1+Вводные!BH38)</f>
        <v>4.383906018707096</v>
      </c>
      <c r="BI42" s="5">
        <f>BH42 * (1+Вводные!BI38)</f>
        <v>4.5154231992683087</v>
      </c>
      <c r="BJ42" s="5">
        <f>BI42 * (1+Вводные!BJ38)</f>
        <v>4.6508858952463576</v>
      </c>
    </row>
    <row r="43" spans="3:62" x14ac:dyDescent="0.15">
      <c r="D43" s="9" t="str">
        <f>Вводные!$D$39</f>
        <v>Темп роста Ежемесячный доход 4</v>
      </c>
      <c r="E43" s="12" t="s">
        <v>4</v>
      </c>
      <c r="I43" s="21">
        <v>1</v>
      </c>
      <c r="J43" s="5">
        <f>I43 * (1+Вводные!J39)</f>
        <v>1</v>
      </c>
      <c r="K43" s="5">
        <f>J43 * (1+Вводные!K39)</f>
        <v>1.03</v>
      </c>
      <c r="L43" s="5">
        <f>K43 * (1+Вводные!L39)</f>
        <v>1.0609</v>
      </c>
      <c r="M43" s="5">
        <f>L43 * (1+Вводные!M39)</f>
        <v>1.092727</v>
      </c>
      <c r="N43" s="5">
        <f>M43 * (1+Вводные!N39)</f>
        <v>1.1255088100000001</v>
      </c>
      <c r="O43" s="5">
        <f>N43 * (1+Вводные!O39)</f>
        <v>1.1592740743000001</v>
      </c>
      <c r="P43" s="5">
        <f>O43 * (1+Вводные!P39)</f>
        <v>1.1940522965290001</v>
      </c>
      <c r="Q43" s="5">
        <f>P43 * (1+Вводные!Q39)</f>
        <v>1.2298738654248702</v>
      </c>
      <c r="R43" s="5">
        <f>Q43 * (1+Вводные!R39)</f>
        <v>1.2667700813876164</v>
      </c>
      <c r="S43" s="5">
        <f>R43 * (1+Вводные!S39)</f>
        <v>1.3047731838292449</v>
      </c>
      <c r="T43" s="5">
        <f>S43 * (1+Вводные!T39)</f>
        <v>1.3439163793441222</v>
      </c>
      <c r="U43" s="5">
        <f>T43 * (1+Вводные!U39)</f>
        <v>1.3842338707244459</v>
      </c>
      <c r="V43" s="5">
        <f>U43 * (1+Вводные!V39)</f>
        <v>1.4257608868461793</v>
      </c>
      <c r="W43" s="5">
        <f>V43 * (1+Вводные!W39)</f>
        <v>1.4685337134515648</v>
      </c>
      <c r="X43" s="5">
        <f>W43 * (1+Вводные!X39)</f>
        <v>1.5125897248551119</v>
      </c>
      <c r="Y43" s="5">
        <f>X43 * (1+Вводные!Y39)</f>
        <v>1.5579674166007653</v>
      </c>
      <c r="Z43" s="5">
        <f>Y43 * (1+Вводные!Z39)</f>
        <v>1.6047064390987884</v>
      </c>
      <c r="AA43" s="5">
        <f>Z43 * (1+Вводные!AA39)</f>
        <v>1.652847632271752</v>
      </c>
      <c r="AB43" s="5">
        <f>AA43 * (1+Вводные!AB39)</f>
        <v>1.7024330612399046</v>
      </c>
      <c r="AC43" s="5">
        <f>AB43 * (1+Вводные!AC39)</f>
        <v>1.7535060530771018</v>
      </c>
      <c r="AD43" s="5">
        <f>AC43 * (1+Вводные!AD39)</f>
        <v>1.806111234669415</v>
      </c>
      <c r="AE43" s="5">
        <f>AD43 * (1+Вводные!AE39)</f>
        <v>1.8602945717094976</v>
      </c>
      <c r="AF43" s="5">
        <f>AE43 * (1+Вводные!AF39)</f>
        <v>1.9161034088607827</v>
      </c>
      <c r="AG43" s="5">
        <f>AF43 * (1+Вводные!AG39)</f>
        <v>1.9735865111266062</v>
      </c>
      <c r="AH43" s="5">
        <f>AG43 * (1+Вводные!AH39)</f>
        <v>2.0327941064604045</v>
      </c>
      <c r="AI43" s="5">
        <f>AH43 * (1+Вводные!AI39)</f>
        <v>2.0937779296542165</v>
      </c>
      <c r="AJ43" s="5">
        <f>AI43 * (1+Вводные!AJ39)</f>
        <v>2.1565912675438432</v>
      </c>
      <c r="AK43" s="5">
        <f>AJ43 * (1+Вводные!AK39)</f>
        <v>2.2212890055701586</v>
      </c>
      <c r="AL43" s="5">
        <f>AK43 * (1+Вводные!AL39)</f>
        <v>2.2879276757372633</v>
      </c>
      <c r="AM43" s="5">
        <f>AL43 * (1+Вводные!AM39)</f>
        <v>2.3565655060093813</v>
      </c>
      <c r="AN43" s="5">
        <f>AM43 * (1+Вводные!AN39)</f>
        <v>2.4272624711896627</v>
      </c>
      <c r="AO43" s="5">
        <f>AN43 * (1+Вводные!AO39)</f>
        <v>2.5000803453253524</v>
      </c>
      <c r="AP43" s="5">
        <f>AO43 * (1+Вводные!AP39)</f>
        <v>2.5750827556851132</v>
      </c>
      <c r="AQ43" s="5">
        <f>AP43 * (1+Вводные!AQ39)</f>
        <v>2.6523352383556666</v>
      </c>
      <c r="AR43" s="5">
        <f>AQ43 * (1+Вводные!AR39)</f>
        <v>2.7319052955063365</v>
      </c>
      <c r="AS43" s="5">
        <f>AR43 * (1+Вводные!AS39)</f>
        <v>2.8138624543715265</v>
      </c>
      <c r="AT43" s="5">
        <f>AS43 * (1+Вводные!AT39)</f>
        <v>2.8982783280026725</v>
      </c>
      <c r="AU43" s="5">
        <f>AT43 * (1+Вводные!AU39)</f>
        <v>2.9852266778427525</v>
      </c>
      <c r="AV43" s="5">
        <f>AU43 * (1+Вводные!AV39)</f>
        <v>3.074783478178035</v>
      </c>
      <c r="AW43" s="5">
        <f>AV43 * (1+Вводные!AW39)</f>
        <v>3.1670269825233763</v>
      </c>
      <c r="AX43" s="5">
        <f>AW43 * (1+Вводные!AX39)</f>
        <v>3.2620377919990777</v>
      </c>
      <c r="AY43" s="5">
        <f>AX43 * (1+Вводные!AY39)</f>
        <v>3.3598989257590501</v>
      </c>
      <c r="AZ43" s="5">
        <f>AY43 * (1+Вводные!AZ39)</f>
        <v>3.4606958935318217</v>
      </c>
      <c r="BA43" s="5">
        <f>AZ43 * (1+Вводные!BA39)</f>
        <v>3.5645167703377765</v>
      </c>
      <c r="BB43" s="5">
        <f>BA43 * (1+Вводные!BB39)</f>
        <v>3.67145227344791</v>
      </c>
      <c r="BC43" s="5">
        <f>BB43 * (1+Вводные!BC39)</f>
        <v>3.7815958416513475</v>
      </c>
      <c r="BD43" s="5">
        <f>BC43 * (1+Вводные!BD39)</f>
        <v>3.8950437169008882</v>
      </c>
      <c r="BE43" s="5">
        <f>BD43 * (1+Вводные!BE39)</f>
        <v>4.0118950284079151</v>
      </c>
      <c r="BF43" s="5">
        <f>BE43 * (1+Вводные!BF39)</f>
        <v>4.1322518792601528</v>
      </c>
      <c r="BG43" s="5">
        <f>BF43 * (1+Вводные!BG39)</f>
        <v>4.2562194356379575</v>
      </c>
      <c r="BH43" s="5">
        <f>BG43 * (1+Вводные!BH39)</f>
        <v>4.383906018707096</v>
      </c>
      <c r="BI43" s="5">
        <f>BH43 * (1+Вводные!BI39)</f>
        <v>4.5154231992683087</v>
      </c>
      <c r="BJ43" s="5">
        <f>BI43 * (1+Вводные!BJ39)</f>
        <v>4.6508858952463576</v>
      </c>
    </row>
    <row r="44" spans="3:62" x14ac:dyDescent="0.15">
      <c r="D44" s="9" t="str">
        <f>Вводные!$D$40</f>
        <v>Темп роста Ежемесячный доход 5</v>
      </c>
      <c r="E44" s="12" t="s">
        <v>4</v>
      </c>
      <c r="I44" s="21">
        <v>1</v>
      </c>
      <c r="J44" s="5">
        <f>I44 * (1+Вводные!J40)</f>
        <v>1</v>
      </c>
      <c r="K44" s="5">
        <f>J44 * (1+Вводные!K40)</f>
        <v>1.03</v>
      </c>
      <c r="L44" s="5">
        <f>K44 * (1+Вводные!L40)</f>
        <v>1.0609</v>
      </c>
      <c r="M44" s="5">
        <f>L44 * (1+Вводные!M40)</f>
        <v>1.092727</v>
      </c>
      <c r="N44" s="5">
        <f>M44 * (1+Вводные!N40)</f>
        <v>1.1255088100000001</v>
      </c>
      <c r="O44" s="5">
        <f>N44 * (1+Вводные!O40)</f>
        <v>1.1592740743000001</v>
      </c>
      <c r="P44" s="5">
        <f>O44 * (1+Вводные!P40)</f>
        <v>1.1940522965290001</v>
      </c>
      <c r="Q44" s="5">
        <f>P44 * (1+Вводные!Q40)</f>
        <v>1.2298738654248702</v>
      </c>
      <c r="R44" s="5">
        <f>Q44 * (1+Вводные!R40)</f>
        <v>1.2667700813876164</v>
      </c>
      <c r="S44" s="5">
        <f>R44 * (1+Вводные!S40)</f>
        <v>1.3047731838292449</v>
      </c>
      <c r="T44" s="5">
        <f>S44 * (1+Вводные!T40)</f>
        <v>1.3439163793441222</v>
      </c>
      <c r="U44" s="5">
        <f>T44 * (1+Вводные!U40)</f>
        <v>1.3842338707244459</v>
      </c>
      <c r="V44" s="5">
        <f>U44 * (1+Вводные!V40)</f>
        <v>1.4257608868461793</v>
      </c>
      <c r="W44" s="5">
        <f>V44 * (1+Вводные!W40)</f>
        <v>1.4685337134515648</v>
      </c>
      <c r="X44" s="5">
        <f>W44 * (1+Вводные!X40)</f>
        <v>1.5125897248551119</v>
      </c>
      <c r="Y44" s="5">
        <f>X44 * (1+Вводные!Y40)</f>
        <v>1.5579674166007653</v>
      </c>
      <c r="Z44" s="5">
        <f>Y44 * (1+Вводные!Z40)</f>
        <v>1.6047064390987884</v>
      </c>
      <c r="AA44" s="5">
        <f>Z44 * (1+Вводные!AA40)</f>
        <v>1.652847632271752</v>
      </c>
      <c r="AB44" s="5">
        <f>AA44 * (1+Вводные!AB40)</f>
        <v>1.7024330612399046</v>
      </c>
      <c r="AC44" s="5">
        <f>AB44 * (1+Вводные!AC40)</f>
        <v>1.7535060530771018</v>
      </c>
      <c r="AD44" s="5">
        <f>AC44 * (1+Вводные!AD40)</f>
        <v>1.806111234669415</v>
      </c>
      <c r="AE44" s="5">
        <f>AD44 * (1+Вводные!AE40)</f>
        <v>1.8602945717094976</v>
      </c>
      <c r="AF44" s="5">
        <f>AE44 * (1+Вводные!AF40)</f>
        <v>1.9161034088607827</v>
      </c>
      <c r="AG44" s="5">
        <f>AF44 * (1+Вводные!AG40)</f>
        <v>1.9735865111266062</v>
      </c>
      <c r="AH44" s="5">
        <f>AG44 * (1+Вводные!AH40)</f>
        <v>2.0327941064604045</v>
      </c>
      <c r="AI44" s="5">
        <f>AH44 * (1+Вводные!AI40)</f>
        <v>2.0937779296542165</v>
      </c>
      <c r="AJ44" s="5">
        <f>AI44 * (1+Вводные!AJ40)</f>
        <v>2.1565912675438432</v>
      </c>
      <c r="AK44" s="5">
        <f>AJ44 * (1+Вводные!AK40)</f>
        <v>2.2212890055701586</v>
      </c>
      <c r="AL44" s="5">
        <f>AK44 * (1+Вводные!AL40)</f>
        <v>2.2879276757372633</v>
      </c>
      <c r="AM44" s="5">
        <f>AL44 * (1+Вводные!AM40)</f>
        <v>2.3565655060093813</v>
      </c>
      <c r="AN44" s="5">
        <f>AM44 * (1+Вводные!AN40)</f>
        <v>2.4272624711896627</v>
      </c>
      <c r="AO44" s="5">
        <f>AN44 * (1+Вводные!AO40)</f>
        <v>2.5000803453253524</v>
      </c>
      <c r="AP44" s="5">
        <f>AO44 * (1+Вводные!AP40)</f>
        <v>2.5750827556851132</v>
      </c>
      <c r="AQ44" s="5">
        <f>AP44 * (1+Вводные!AQ40)</f>
        <v>2.6523352383556666</v>
      </c>
      <c r="AR44" s="5">
        <f>AQ44 * (1+Вводные!AR40)</f>
        <v>2.7319052955063365</v>
      </c>
      <c r="AS44" s="5">
        <f>AR44 * (1+Вводные!AS40)</f>
        <v>2.8138624543715265</v>
      </c>
      <c r="AT44" s="5">
        <f>AS44 * (1+Вводные!AT40)</f>
        <v>2.8982783280026725</v>
      </c>
      <c r="AU44" s="5">
        <f>AT44 * (1+Вводные!AU40)</f>
        <v>2.9852266778427525</v>
      </c>
      <c r="AV44" s="5">
        <f>AU44 * (1+Вводные!AV40)</f>
        <v>3.074783478178035</v>
      </c>
      <c r="AW44" s="5">
        <f>AV44 * (1+Вводные!AW40)</f>
        <v>3.1670269825233763</v>
      </c>
      <c r="AX44" s="5">
        <f>AW44 * (1+Вводные!AX40)</f>
        <v>3.2620377919990777</v>
      </c>
      <c r="AY44" s="5">
        <f>AX44 * (1+Вводные!AY40)</f>
        <v>3.3598989257590501</v>
      </c>
      <c r="AZ44" s="5">
        <f>AY44 * (1+Вводные!AZ40)</f>
        <v>3.4606958935318217</v>
      </c>
      <c r="BA44" s="5">
        <f>AZ44 * (1+Вводные!BA40)</f>
        <v>3.5645167703377765</v>
      </c>
      <c r="BB44" s="5">
        <f>BA44 * (1+Вводные!BB40)</f>
        <v>3.67145227344791</v>
      </c>
      <c r="BC44" s="5">
        <f>BB44 * (1+Вводные!BC40)</f>
        <v>3.7815958416513475</v>
      </c>
      <c r="BD44" s="5">
        <f>BC44 * (1+Вводные!BD40)</f>
        <v>3.8950437169008882</v>
      </c>
      <c r="BE44" s="5">
        <f>BD44 * (1+Вводные!BE40)</f>
        <v>4.0118950284079151</v>
      </c>
      <c r="BF44" s="5">
        <f>BE44 * (1+Вводные!BF40)</f>
        <v>4.1322518792601528</v>
      </c>
      <c r="BG44" s="5">
        <f>BF44 * (1+Вводные!BG40)</f>
        <v>4.2562194356379575</v>
      </c>
      <c r="BH44" s="5">
        <f>BG44 * (1+Вводные!BH40)</f>
        <v>4.383906018707096</v>
      </c>
      <c r="BI44" s="5">
        <f>BH44 * (1+Вводные!BI40)</f>
        <v>4.5154231992683087</v>
      </c>
      <c r="BJ44" s="5">
        <f>BI44 * (1+Вводные!BJ40)</f>
        <v>4.6508858952463576</v>
      </c>
    </row>
    <row r="46" spans="3:62" x14ac:dyDescent="0.15">
      <c r="C46" s="2">
        <f>MAX( $B$7:C45 ) + 0.1</f>
        <v>2.2000000000000002</v>
      </c>
      <c r="D46" s="2" t="s">
        <v>7</v>
      </c>
      <c r="E46" s="1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</row>
    <row r="48" spans="3:62" ht="12" thickBot="1" x14ac:dyDescent="0.2">
      <c r="D48" s="8" t="s">
        <v>7</v>
      </c>
      <c r="E48" s="15" t="s">
        <v>110</v>
      </c>
      <c r="I48" s="24">
        <f t="shared" ref="I48:AN48" si="9">SUM(I49:I53)</f>
        <v>0</v>
      </c>
      <c r="J48" s="7">
        <f t="shared" si="9"/>
        <v>0</v>
      </c>
      <c r="K48" s="7">
        <f t="shared" si="9"/>
        <v>0</v>
      </c>
      <c r="L48" s="7">
        <f t="shared" si="9"/>
        <v>0</v>
      </c>
      <c r="M48" s="7">
        <f t="shared" si="9"/>
        <v>0</v>
      </c>
      <c r="N48" s="7">
        <f t="shared" si="9"/>
        <v>0</v>
      </c>
      <c r="O48" s="7">
        <f t="shared" si="9"/>
        <v>0</v>
      </c>
      <c r="P48" s="7">
        <f t="shared" si="9"/>
        <v>0</v>
      </c>
      <c r="Q48" s="7">
        <f t="shared" si="9"/>
        <v>0</v>
      </c>
      <c r="R48" s="7">
        <f t="shared" si="9"/>
        <v>0</v>
      </c>
      <c r="S48" s="7">
        <f t="shared" si="9"/>
        <v>0</v>
      </c>
      <c r="T48" s="7">
        <f t="shared" si="9"/>
        <v>0</v>
      </c>
      <c r="U48" s="7">
        <f t="shared" si="9"/>
        <v>0</v>
      </c>
      <c r="V48" s="7">
        <f t="shared" si="9"/>
        <v>0</v>
      </c>
      <c r="W48" s="7">
        <f t="shared" si="9"/>
        <v>0</v>
      </c>
      <c r="X48" s="7">
        <f t="shared" si="9"/>
        <v>0</v>
      </c>
      <c r="Y48" s="7">
        <f t="shared" si="9"/>
        <v>0</v>
      </c>
      <c r="Z48" s="7">
        <f t="shared" si="9"/>
        <v>0</v>
      </c>
      <c r="AA48" s="7">
        <f t="shared" si="9"/>
        <v>0</v>
      </c>
      <c r="AB48" s="7">
        <f t="shared" si="9"/>
        <v>0</v>
      </c>
      <c r="AC48" s="7">
        <f t="shared" si="9"/>
        <v>0</v>
      </c>
      <c r="AD48" s="7">
        <f t="shared" si="9"/>
        <v>0</v>
      </c>
      <c r="AE48" s="7">
        <f t="shared" si="9"/>
        <v>0</v>
      </c>
      <c r="AF48" s="7">
        <f t="shared" si="9"/>
        <v>0</v>
      </c>
      <c r="AG48" s="7">
        <f t="shared" si="9"/>
        <v>0</v>
      </c>
      <c r="AH48" s="7">
        <f t="shared" si="9"/>
        <v>0</v>
      </c>
      <c r="AI48" s="7">
        <f t="shared" si="9"/>
        <v>0</v>
      </c>
      <c r="AJ48" s="7">
        <f t="shared" si="9"/>
        <v>0</v>
      </c>
      <c r="AK48" s="7">
        <f t="shared" si="9"/>
        <v>0</v>
      </c>
      <c r="AL48" s="7">
        <f t="shared" si="9"/>
        <v>0</v>
      </c>
      <c r="AM48" s="7">
        <f t="shared" si="9"/>
        <v>0</v>
      </c>
      <c r="AN48" s="7">
        <f t="shared" si="9"/>
        <v>0</v>
      </c>
      <c r="AO48" s="7">
        <f t="shared" ref="AO48:BJ48" si="10">SUM(AO49:AO53)</f>
        <v>0</v>
      </c>
      <c r="AP48" s="7">
        <f t="shared" si="10"/>
        <v>0</v>
      </c>
      <c r="AQ48" s="7">
        <f t="shared" si="10"/>
        <v>0</v>
      </c>
      <c r="AR48" s="7">
        <f t="shared" si="10"/>
        <v>0</v>
      </c>
      <c r="AS48" s="7">
        <f t="shared" si="10"/>
        <v>0</v>
      </c>
      <c r="AT48" s="7">
        <f t="shared" si="10"/>
        <v>0</v>
      </c>
      <c r="AU48" s="7">
        <f t="shared" si="10"/>
        <v>0</v>
      </c>
      <c r="AV48" s="7">
        <f t="shared" si="10"/>
        <v>0</v>
      </c>
      <c r="AW48" s="7">
        <f t="shared" si="10"/>
        <v>0</v>
      </c>
      <c r="AX48" s="7">
        <f t="shared" si="10"/>
        <v>0</v>
      </c>
      <c r="AY48" s="7">
        <f t="shared" si="10"/>
        <v>0</v>
      </c>
      <c r="AZ48" s="7">
        <f t="shared" si="10"/>
        <v>0</v>
      </c>
      <c r="BA48" s="7">
        <f t="shared" si="10"/>
        <v>0</v>
      </c>
      <c r="BB48" s="7">
        <f t="shared" si="10"/>
        <v>0</v>
      </c>
      <c r="BC48" s="7">
        <f t="shared" si="10"/>
        <v>0</v>
      </c>
      <c r="BD48" s="7">
        <f t="shared" si="10"/>
        <v>0</v>
      </c>
      <c r="BE48" s="7">
        <f t="shared" si="10"/>
        <v>0</v>
      </c>
      <c r="BF48" s="7">
        <f t="shared" si="10"/>
        <v>0</v>
      </c>
      <c r="BG48" s="7">
        <f t="shared" si="10"/>
        <v>0</v>
      </c>
      <c r="BH48" s="7">
        <f t="shared" si="10"/>
        <v>0</v>
      </c>
      <c r="BI48" s="7">
        <f t="shared" si="10"/>
        <v>0</v>
      </c>
      <c r="BJ48" s="7">
        <f t="shared" si="10"/>
        <v>0</v>
      </c>
    </row>
    <row r="49" spans="4:62" ht="12" thickTop="1" x14ac:dyDescent="0.15">
      <c r="D49" s="11" t="str">
        <f>Вводные!$D$45</f>
        <v>Ежегодный доход 1</v>
      </c>
      <c r="E49" s="12" t="s">
        <v>110</v>
      </c>
      <c r="I49" s="20">
        <f>Вводные!F45</f>
        <v>0</v>
      </c>
      <c r="J49" s="3">
        <f>$I49 * J56 * J20</f>
        <v>0</v>
      </c>
      <c r="K49" s="3">
        <f t="shared" ref="K49:BJ49" si="11">$I49 * K56 * K20</f>
        <v>0</v>
      </c>
      <c r="L49" s="3">
        <f t="shared" si="11"/>
        <v>0</v>
      </c>
      <c r="M49" s="3">
        <f t="shared" si="11"/>
        <v>0</v>
      </c>
      <c r="N49" s="3">
        <f t="shared" si="11"/>
        <v>0</v>
      </c>
      <c r="O49" s="3">
        <f t="shared" si="11"/>
        <v>0</v>
      </c>
      <c r="P49" s="3">
        <f t="shared" si="11"/>
        <v>0</v>
      </c>
      <c r="Q49" s="3">
        <f t="shared" si="11"/>
        <v>0</v>
      </c>
      <c r="R49" s="3">
        <f t="shared" si="11"/>
        <v>0</v>
      </c>
      <c r="S49" s="3">
        <f t="shared" si="11"/>
        <v>0</v>
      </c>
      <c r="T49" s="3">
        <f t="shared" si="11"/>
        <v>0</v>
      </c>
      <c r="U49" s="3">
        <f t="shared" si="11"/>
        <v>0</v>
      </c>
      <c r="V49" s="3">
        <f t="shared" si="11"/>
        <v>0</v>
      </c>
      <c r="W49" s="3">
        <f t="shared" si="11"/>
        <v>0</v>
      </c>
      <c r="X49" s="3">
        <f t="shared" si="11"/>
        <v>0</v>
      </c>
      <c r="Y49" s="3">
        <f t="shared" si="11"/>
        <v>0</v>
      </c>
      <c r="Z49" s="3">
        <f t="shared" si="11"/>
        <v>0</v>
      </c>
      <c r="AA49" s="3">
        <f t="shared" si="11"/>
        <v>0</v>
      </c>
      <c r="AB49" s="3">
        <f t="shared" si="11"/>
        <v>0</v>
      </c>
      <c r="AC49" s="3">
        <f t="shared" si="11"/>
        <v>0</v>
      </c>
      <c r="AD49" s="3">
        <f t="shared" si="11"/>
        <v>0</v>
      </c>
      <c r="AE49" s="3">
        <f t="shared" si="11"/>
        <v>0</v>
      </c>
      <c r="AF49" s="3">
        <f t="shared" si="11"/>
        <v>0</v>
      </c>
      <c r="AG49" s="3">
        <f t="shared" si="11"/>
        <v>0</v>
      </c>
      <c r="AH49" s="3">
        <f t="shared" si="11"/>
        <v>0</v>
      </c>
      <c r="AI49" s="3">
        <f t="shared" si="11"/>
        <v>0</v>
      </c>
      <c r="AJ49" s="3">
        <f t="shared" si="11"/>
        <v>0</v>
      </c>
      <c r="AK49" s="3">
        <f t="shared" si="11"/>
        <v>0</v>
      </c>
      <c r="AL49" s="3">
        <f t="shared" si="11"/>
        <v>0</v>
      </c>
      <c r="AM49" s="3">
        <f t="shared" si="11"/>
        <v>0</v>
      </c>
      <c r="AN49" s="3">
        <f t="shared" si="11"/>
        <v>0</v>
      </c>
      <c r="AO49" s="3">
        <f t="shared" si="11"/>
        <v>0</v>
      </c>
      <c r="AP49" s="3">
        <f t="shared" si="11"/>
        <v>0</v>
      </c>
      <c r="AQ49" s="3">
        <f t="shared" si="11"/>
        <v>0</v>
      </c>
      <c r="AR49" s="3">
        <f t="shared" si="11"/>
        <v>0</v>
      </c>
      <c r="AS49" s="3">
        <f t="shared" si="11"/>
        <v>0</v>
      </c>
      <c r="AT49" s="3">
        <f t="shared" si="11"/>
        <v>0</v>
      </c>
      <c r="AU49" s="3">
        <f t="shared" si="11"/>
        <v>0</v>
      </c>
      <c r="AV49" s="3">
        <f t="shared" si="11"/>
        <v>0</v>
      </c>
      <c r="AW49" s="3">
        <f t="shared" si="11"/>
        <v>0</v>
      </c>
      <c r="AX49" s="3">
        <f t="shared" si="11"/>
        <v>0</v>
      </c>
      <c r="AY49" s="3">
        <f t="shared" si="11"/>
        <v>0</v>
      </c>
      <c r="AZ49" s="3">
        <f t="shared" si="11"/>
        <v>0</v>
      </c>
      <c r="BA49" s="3">
        <f t="shared" si="11"/>
        <v>0</v>
      </c>
      <c r="BB49" s="3">
        <f t="shared" si="11"/>
        <v>0</v>
      </c>
      <c r="BC49" s="3">
        <f t="shared" si="11"/>
        <v>0</v>
      </c>
      <c r="BD49" s="3">
        <f t="shared" si="11"/>
        <v>0</v>
      </c>
      <c r="BE49" s="3">
        <f t="shared" si="11"/>
        <v>0</v>
      </c>
      <c r="BF49" s="3">
        <f t="shared" si="11"/>
        <v>0</v>
      </c>
      <c r="BG49" s="3">
        <f t="shared" si="11"/>
        <v>0</v>
      </c>
      <c r="BH49" s="3">
        <f t="shared" si="11"/>
        <v>0</v>
      </c>
      <c r="BI49" s="3">
        <f t="shared" si="11"/>
        <v>0</v>
      </c>
      <c r="BJ49" s="3">
        <f t="shared" si="11"/>
        <v>0</v>
      </c>
    </row>
    <row r="50" spans="4:62" x14ac:dyDescent="0.15">
      <c r="D50" s="11" t="str">
        <f>Вводные!$D$46</f>
        <v>Ежегодный доход 2</v>
      </c>
      <c r="E50" s="12" t="s">
        <v>110</v>
      </c>
      <c r="I50" s="20">
        <f>Вводные!F46</f>
        <v>0</v>
      </c>
      <c r="J50" s="3">
        <f t="shared" ref="J50:BJ50" si="12">$I50 * J57 * J21</f>
        <v>0</v>
      </c>
      <c r="K50" s="3">
        <f t="shared" si="12"/>
        <v>0</v>
      </c>
      <c r="L50" s="3">
        <f t="shared" si="12"/>
        <v>0</v>
      </c>
      <c r="M50" s="3">
        <f t="shared" si="12"/>
        <v>0</v>
      </c>
      <c r="N50" s="3">
        <f t="shared" si="12"/>
        <v>0</v>
      </c>
      <c r="O50" s="3">
        <f t="shared" si="12"/>
        <v>0</v>
      </c>
      <c r="P50" s="3">
        <f t="shared" si="12"/>
        <v>0</v>
      </c>
      <c r="Q50" s="3">
        <f t="shared" si="12"/>
        <v>0</v>
      </c>
      <c r="R50" s="3">
        <f t="shared" si="12"/>
        <v>0</v>
      </c>
      <c r="S50" s="3">
        <f t="shared" si="12"/>
        <v>0</v>
      </c>
      <c r="T50" s="3">
        <f t="shared" si="12"/>
        <v>0</v>
      </c>
      <c r="U50" s="3">
        <f t="shared" si="12"/>
        <v>0</v>
      </c>
      <c r="V50" s="3">
        <f t="shared" si="12"/>
        <v>0</v>
      </c>
      <c r="W50" s="3">
        <f t="shared" si="12"/>
        <v>0</v>
      </c>
      <c r="X50" s="3">
        <f t="shared" si="12"/>
        <v>0</v>
      </c>
      <c r="Y50" s="3">
        <f t="shared" si="12"/>
        <v>0</v>
      </c>
      <c r="Z50" s="3">
        <f t="shared" si="12"/>
        <v>0</v>
      </c>
      <c r="AA50" s="3">
        <f t="shared" si="12"/>
        <v>0</v>
      </c>
      <c r="AB50" s="3">
        <f t="shared" si="12"/>
        <v>0</v>
      </c>
      <c r="AC50" s="3">
        <f t="shared" si="12"/>
        <v>0</v>
      </c>
      <c r="AD50" s="3">
        <f t="shared" si="12"/>
        <v>0</v>
      </c>
      <c r="AE50" s="3">
        <f t="shared" si="12"/>
        <v>0</v>
      </c>
      <c r="AF50" s="3">
        <f t="shared" si="12"/>
        <v>0</v>
      </c>
      <c r="AG50" s="3">
        <f t="shared" si="12"/>
        <v>0</v>
      </c>
      <c r="AH50" s="3">
        <f t="shared" si="12"/>
        <v>0</v>
      </c>
      <c r="AI50" s="3">
        <f t="shared" si="12"/>
        <v>0</v>
      </c>
      <c r="AJ50" s="3">
        <f t="shared" si="12"/>
        <v>0</v>
      </c>
      <c r="AK50" s="3">
        <f t="shared" si="12"/>
        <v>0</v>
      </c>
      <c r="AL50" s="3">
        <f t="shared" si="12"/>
        <v>0</v>
      </c>
      <c r="AM50" s="3">
        <f t="shared" si="12"/>
        <v>0</v>
      </c>
      <c r="AN50" s="3">
        <f t="shared" si="12"/>
        <v>0</v>
      </c>
      <c r="AO50" s="3">
        <f t="shared" si="12"/>
        <v>0</v>
      </c>
      <c r="AP50" s="3">
        <f t="shared" si="12"/>
        <v>0</v>
      </c>
      <c r="AQ50" s="3">
        <f t="shared" si="12"/>
        <v>0</v>
      </c>
      <c r="AR50" s="3">
        <f t="shared" si="12"/>
        <v>0</v>
      </c>
      <c r="AS50" s="3">
        <f t="shared" si="12"/>
        <v>0</v>
      </c>
      <c r="AT50" s="3">
        <f t="shared" si="12"/>
        <v>0</v>
      </c>
      <c r="AU50" s="3">
        <f t="shared" si="12"/>
        <v>0</v>
      </c>
      <c r="AV50" s="3">
        <f t="shared" si="12"/>
        <v>0</v>
      </c>
      <c r="AW50" s="3">
        <f t="shared" si="12"/>
        <v>0</v>
      </c>
      <c r="AX50" s="3">
        <f t="shared" si="12"/>
        <v>0</v>
      </c>
      <c r="AY50" s="3">
        <f t="shared" si="12"/>
        <v>0</v>
      </c>
      <c r="AZ50" s="3">
        <f t="shared" si="12"/>
        <v>0</v>
      </c>
      <c r="BA50" s="3">
        <f t="shared" si="12"/>
        <v>0</v>
      </c>
      <c r="BB50" s="3">
        <f t="shared" si="12"/>
        <v>0</v>
      </c>
      <c r="BC50" s="3">
        <f t="shared" si="12"/>
        <v>0</v>
      </c>
      <c r="BD50" s="3">
        <f t="shared" si="12"/>
        <v>0</v>
      </c>
      <c r="BE50" s="3">
        <f t="shared" si="12"/>
        <v>0</v>
      </c>
      <c r="BF50" s="3">
        <f t="shared" si="12"/>
        <v>0</v>
      </c>
      <c r="BG50" s="3">
        <f t="shared" si="12"/>
        <v>0</v>
      </c>
      <c r="BH50" s="3">
        <f t="shared" si="12"/>
        <v>0</v>
      </c>
      <c r="BI50" s="3">
        <f t="shared" si="12"/>
        <v>0</v>
      </c>
      <c r="BJ50" s="3">
        <f t="shared" si="12"/>
        <v>0</v>
      </c>
    </row>
    <row r="51" spans="4:62" x14ac:dyDescent="0.15">
      <c r="D51" s="11" t="str">
        <f>Вводные!$D$47</f>
        <v>Ежегодный доход 3</v>
      </c>
      <c r="E51" s="12" t="s">
        <v>110</v>
      </c>
      <c r="I51" s="20">
        <f>Вводные!F47</f>
        <v>0</v>
      </c>
      <c r="J51" s="3">
        <f t="shared" ref="J51:BJ51" si="13">$I51 * J58 * J22</f>
        <v>0</v>
      </c>
      <c r="K51" s="3">
        <f t="shared" si="13"/>
        <v>0</v>
      </c>
      <c r="L51" s="3">
        <f t="shared" si="13"/>
        <v>0</v>
      </c>
      <c r="M51" s="3">
        <f t="shared" si="13"/>
        <v>0</v>
      </c>
      <c r="N51" s="3">
        <f t="shared" si="13"/>
        <v>0</v>
      </c>
      <c r="O51" s="3">
        <f t="shared" si="13"/>
        <v>0</v>
      </c>
      <c r="P51" s="3">
        <f t="shared" si="13"/>
        <v>0</v>
      </c>
      <c r="Q51" s="3">
        <f t="shared" si="13"/>
        <v>0</v>
      </c>
      <c r="R51" s="3">
        <f t="shared" si="13"/>
        <v>0</v>
      </c>
      <c r="S51" s="3">
        <f t="shared" si="13"/>
        <v>0</v>
      </c>
      <c r="T51" s="3">
        <f t="shared" si="13"/>
        <v>0</v>
      </c>
      <c r="U51" s="3">
        <f t="shared" si="13"/>
        <v>0</v>
      </c>
      <c r="V51" s="3">
        <f t="shared" si="13"/>
        <v>0</v>
      </c>
      <c r="W51" s="3">
        <f t="shared" si="13"/>
        <v>0</v>
      </c>
      <c r="X51" s="3">
        <f t="shared" si="13"/>
        <v>0</v>
      </c>
      <c r="Y51" s="3">
        <f t="shared" si="13"/>
        <v>0</v>
      </c>
      <c r="Z51" s="3">
        <f t="shared" si="13"/>
        <v>0</v>
      </c>
      <c r="AA51" s="3">
        <f t="shared" si="13"/>
        <v>0</v>
      </c>
      <c r="AB51" s="3">
        <f t="shared" si="13"/>
        <v>0</v>
      </c>
      <c r="AC51" s="3">
        <f t="shared" si="13"/>
        <v>0</v>
      </c>
      <c r="AD51" s="3">
        <f t="shared" si="13"/>
        <v>0</v>
      </c>
      <c r="AE51" s="3">
        <f t="shared" si="13"/>
        <v>0</v>
      </c>
      <c r="AF51" s="3">
        <f t="shared" si="13"/>
        <v>0</v>
      </c>
      <c r="AG51" s="3">
        <f t="shared" si="13"/>
        <v>0</v>
      </c>
      <c r="AH51" s="3">
        <f t="shared" si="13"/>
        <v>0</v>
      </c>
      <c r="AI51" s="3">
        <f t="shared" si="13"/>
        <v>0</v>
      </c>
      <c r="AJ51" s="3">
        <f t="shared" si="13"/>
        <v>0</v>
      </c>
      <c r="AK51" s="3">
        <f t="shared" si="13"/>
        <v>0</v>
      </c>
      <c r="AL51" s="3">
        <f t="shared" si="13"/>
        <v>0</v>
      </c>
      <c r="AM51" s="3">
        <f t="shared" si="13"/>
        <v>0</v>
      </c>
      <c r="AN51" s="3">
        <f t="shared" si="13"/>
        <v>0</v>
      </c>
      <c r="AO51" s="3">
        <f t="shared" si="13"/>
        <v>0</v>
      </c>
      <c r="AP51" s="3">
        <f t="shared" si="13"/>
        <v>0</v>
      </c>
      <c r="AQ51" s="3">
        <f t="shared" si="13"/>
        <v>0</v>
      </c>
      <c r="AR51" s="3">
        <f t="shared" si="13"/>
        <v>0</v>
      </c>
      <c r="AS51" s="3">
        <f t="shared" si="13"/>
        <v>0</v>
      </c>
      <c r="AT51" s="3">
        <f t="shared" si="13"/>
        <v>0</v>
      </c>
      <c r="AU51" s="3">
        <f t="shared" si="13"/>
        <v>0</v>
      </c>
      <c r="AV51" s="3">
        <f t="shared" si="13"/>
        <v>0</v>
      </c>
      <c r="AW51" s="3">
        <f t="shared" si="13"/>
        <v>0</v>
      </c>
      <c r="AX51" s="3">
        <f t="shared" si="13"/>
        <v>0</v>
      </c>
      <c r="AY51" s="3">
        <f t="shared" si="13"/>
        <v>0</v>
      </c>
      <c r="AZ51" s="3">
        <f t="shared" si="13"/>
        <v>0</v>
      </c>
      <c r="BA51" s="3">
        <f t="shared" si="13"/>
        <v>0</v>
      </c>
      <c r="BB51" s="3">
        <f t="shared" si="13"/>
        <v>0</v>
      </c>
      <c r="BC51" s="3">
        <f t="shared" si="13"/>
        <v>0</v>
      </c>
      <c r="BD51" s="3">
        <f t="shared" si="13"/>
        <v>0</v>
      </c>
      <c r="BE51" s="3">
        <f t="shared" si="13"/>
        <v>0</v>
      </c>
      <c r="BF51" s="3">
        <f t="shared" si="13"/>
        <v>0</v>
      </c>
      <c r="BG51" s="3">
        <f t="shared" si="13"/>
        <v>0</v>
      </c>
      <c r="BH51" s="3">
        <f t="shared" si="13"/>
        <v>0</v>
      </c>
      <c r="BI51" s="3">
        <f t="shared" si="13"/>
        <v>0</v>
      </c>
      <c r="BJ51" s="3">
        <f t="shared" si="13"/>
        <v>0</v>
      </c>
    </row>
    <row r="52" spans="4:62" x14ac:dyDescent="0.15">
      <c r="D52" s="11" t="str">
        <f>Вводные!$D$48</f>
        <v>Ежегодный доход 4</v>
      </c>
      <c r="E52" s="12" t="s">
        <v>110</v>
      </c>
      <c r="I52" s="20">
        <f>Вводные!F48</f>
        <v>0</v>
      </c>
      <c r="J52" s="3">
        <f t="shared" ref="J52:BJ52" si="14">$I52 * J59 * J23</f>
        <v>0</v>
      </c>
      <c r="K52" s="3">
        <f t="shared" si="14"/>
        <v>0</v>
      </c>
      <c r="L52" s="3">
        <f t="shared" si="14"/>
        <v>0</v>
      </c>
      <c r="M52" s="3">
        <f t="shared" si="14"/>
        <v>0</v>
      </c>
      <c r="N52" s="3">
        <f t="shared" si="14"/>
        <v>0</v>
      </c>
      <c r="O52" s="3">
        <f t="shared" si="14"/>
        <v>0</v>
      </c>
      <c r="P52" s="3">
        <f t="shared" si="14"/>
        <v>0</v>
      </c>
      <c r="Q52" s="3">
        <f t="shared" si="14"/>
        <v>0</v>
      </c>
      <c r="R52" s="3">
        <f t="shared" si="14"/>
        <v>0</v>
      </c>
      <c r="S52" s="3">
        <f t="shared" si="14"/>
        <v>0</v>
      </c>
      <c r="T52" s="3">
        <f t="shared" si="14"/>
        <v>0</v>
      </c>
      <c r="U52" s="3">
        <f t="shared" si="14"/>
        <v>0</v>
      </c>
      <c r="V52" s="3">
        <f t="shared" si="14"/>
        <v>0</v>
      </c>
      <c r="W52" s="3">
        <f t="shared" si="14"/>
        <v>0</v>
      </c>
      <c r="X52" s="3">
        <f t="shared" si="14"/>
        <v>0</v>
      </c>
      <c r="Y52" s="3">
        <f t="shared" si="14"/>
        <v>0</v>
      </c>
      <c r="Z52" s="3">
        <f t="shared" si="14"/>
        <v>0</v>
      </c>
      <c r="AA52" s="3">
        <f t="shared" si="14"/>
        <v>0</v>
      </c>
      <c r="AB52" s="3">
        <f t="shared" si="14"/>
        <v>0</v>
      </c>
      <c r="AC52" s="3">
        <f t="shared" si="14"/>
        <v>0</v>
      </c>
      <c r="AD52" s="3">
        <f t="shared" si="14"/>
        <v>0</v>
      </c>
      <c r="AE52" s="3">
        <f t="shared" si="14"/>
        <v>0</v>
      </c>
      <c r="AF52" s="3">
        <f t="shared" si="14"/>
        <v>0</v>
      </c>
      <c r="AG52" s="3">
        <f t="shared" si="14"/>
        <v>0</v>
      </c>
      <c r="AH52" s="3">
        <f t="shared" si="14"/>
        <v>0</v>
      </c>
      <c r="AI52" s="3">
        <f t="shared" si="14"/>
        <v>0</v>
      </c>
      <c r="AJ52" s="3">
        <f t="shared" si="14"/>
        <v>0</v>
      </c>
      <c r="AK52" s="3">
        <f t="shared" si="14"/>
        <v>0</v>
      </c>
      <c r="AL52" s="3">
        <f t="shared" si="14"/>
        <v>0</v>
      </c>
      <c r="AM52" s="3">
        <f t="shared" si="14"/>
        <v>0</v>
      </c>
      <c r="AN52" s="3">
        <f t="shared" si="14"/>
        <v>0</v>
      </c>
      <c r="AO52" s="3">
        <f t="shared" si="14"/>
        <v>0</v>
      </c>
      <c r="AP52" s="3">
        <f t="shared" si="14"/>
        <v>0</v>
      </c>
      <c r="AQ52" s="3">
        <f t="shared" si="14"/>
        <v>0</v>
      </c>
      <c r="AR52" s="3">
        <f t="shared" si="14"/>
        <v>0</v>
      </c>
      <c r="AS52" s="3">
        <f t="shared" si="14"/>
        <v>0</v>
      </c>
      <c r="AT52" s="3">
        <f t="shared" si="14"/>
        <v>0</v>
      </c>
      <c r="AU52" s="3">
        <f t="shared" si="14"/>
        <v>0</v>
      </c>
      <c r="AV52" s="3">
        <f t="shared" si="14"/>
        <v>0</v>
      </c>
      <c r="AW52" s="3">
        <f t="shared" si="14"/>
        <v>0</v>
      </c>
      <c r="AX52" s="3">
        <f t="shared" si="14"/>
        <v>0</v>
      </c>
      <c r="AY52" s="3">
        <f t="shared" si="14"/>
        <v>0</v>
      </c>
      <c r="AZ52" s="3">
        <f t="shared" si="14"/>
        <v>0</v>
      </c>
      <c r="BA52" s="3">
        <f t="shared" si="14"/>
        <v>0</v>
      </c>
      <c r="BB52" s="3">
        <f t="shared" si="14"/>
        <v>0</v>
      </c>
      <c r="BC52" s="3">
        <f t="shared" si="14"/>
        <v>0</v>
      </c>
      <c r="BD52" s="3">
        <f t="shared" si="14"/>
        <v>0</v>
      </c>
      <c r="BE52" s="3">
        <f t="shared" si="14"/>
        <v>0</v>
      </c>
      <c r="BF52" s="3">
        <f t="shared" si="14"/>
        <v>0</v>
      </c>
      <c r="BG52" s="3">
        <f t="shared" si="14"/>
        <v>0</v>
      </c>
      <c r="BH52" s="3">
        <f t="shared" si="14"/>
        <v>0</v>
      </c>
      <c r="BI52" s="3">
        <f t="shared" si="14"/>
        <v>0</v>
      </c>
      <c r="BJ52" s="3">
        <f t="shared" si="14"/>
        <v>0</v>
      </c>
    </row>
    <row r="53" spans="4:62" x14ac:dyDescent="0.15">
      <c r="D53" s="11" t="str">
        <f>Вводные!$D$49</f>
        <v>Ежегодный доход 5</v>
      </c>
      <c r="E53" s="12" t="s">
        <v>110</v>
      </c>
      <c r="I53" s="20">
        <f>Вводные!F49</f>
        <v>0</v>
      </c>
      <c r="J53" s="3">
        <f t="shared" ref="J53:BJ53" si="15">$I53 * J60 * J24</f>
        <v>0</v>
      </c>
      <c r="K53" s="3">
        <f t="shared" si="15"/>
        <v>0</v>
      </c>
      <c r="L53" s="3">
        <f t="shared" si="15"/>
        <v>0</v>
      </c>
      <c r="M53" s="3">
        <f t="shared" si="15"/>
        <v>0</v>
      </c>
      <c r="N53" s="3">
        <f t="shared" si="15"/>
        <v>0</v>
      </c>
      <c r="O53" s="3">
        <f t="shared" si="15"/>
        <v>0</v>
      </c>
      <c r="P53" s="3">
        <f t="shared" si="15"/>
        <v>0</v>
      </c>
      <c r="Q53" s="3">
        <f t="shared" si="15"/>
        <v>0</v>
      </c>
      <c r="R53" s="3">
        <f t="shared" si="15"/>
        <v>0</v>
      </c>
      <c r="S53" s="3">
        <f t="shared" si="15"/>
        <v>0</v>
      </c>
      <c r="T53" s="3">
        <f t="shared" si="15"/>
        <v>0</v>
      </c>
      <c r="U53" s="3">
        <f t="shared" si="15"/>
        <v>0</v>
      </c>
      <c r="V53" s="3">
        <f t="shared" si="15"/>
        <v>0</v>
      </c>
      <c r="W53" s="3">
        <f t="shared" si="15"/>
        <v>0</v>
      </c>
      <c r="X53" s="3">
        <f t="shared" si="15"/>
        <v>0</v>
      </c>
      <c r="Y53" s="3">
        <f t="shared" si="15"/>
        <v>0</v>
      </c>
      <c r="Z53" s="3">
        <f t="shared" si="15"/>
        <v>0</v>
      </c>
      <c r="AA53" s="3">
        <f t="shared" si="15"/>
        <v>0</v>
      </c>
      <c r="AB53" s="3">
        <f t="shared" si="15"/>
        <v>0</v>
      </c>
      <c r="AC53" s="3">
        <f t="shared" si="15"/>
        <v>0</v>
      </c>
      <c r="AD53" s="3">
        <f t="shared" si="15"/>
        <v>0</v>
      </c>
      <c r="AE53" s="3">
        <f t="shared" si="15"/>
        <v>0</v>
      </c>
      <c r="AF53" s="3">
        <f t="shared" si="15"/>
        <v>0</v>
      </c>
      <c r="AG53" s="3">
        <f t="shared" si="15"/>
        <v>0</v>
      </c>
      <c r="AH53" s="3">
        <f t="shared" si="15"/>
        <v>0</v>
      </c>
      <c r="AI53" s="3">
        <f t="shared" si="15"/>
        <v>0</v>
      </c>
      <c r="AJ53" s="3">
        <f t="shared" si="15"/>
        <v>0</v>
      </c>
      <c r="AK53" s="3">
        <f t="shared" si="15"/>
        <v>0</v>
      </c>
      <c r="AL53" s="3">
        <f t="shared" si="15"/>
        <v>0</v>
      </c>
      <c r="AM53" s="3">
        <f t="shared" si="15"/>
        <v>0</v>
      </c>
      <c r="AN53" s="3">
        <f t="shared" si="15"/>
        <v>0</v>
      </c>
      <c r="AO53" s="3">
        <f t="shared" si="15"/>
        <v>0</v>
      </c>
      <c r="AP53" s="3">
        <f t="shared" si="15"/>
        <v>0</v>
      </c>
      <c r="AQ53" s="3">
        <f t="shared" si="15"/>
        <v>0</v>
      </c>
      <c r="AR53" s="3">
        <f t="shared" si="15"/>
        <v>0</v>
      </c>
      <c r="AS53" s="3">
        <f t="shared" si="15"/>
        <v>0</v>
      </c>
      <c r="AT53" s="3">
        <f t="shared" si="15"/>
        <v>0</v>
      </c>
      <c r="AU53" s="3">
        <f t="shared" si="15"/>
        <v>0</v>
      </c>
      <c r="AV53" s="3">
        <f t="shared" si="15"/>
        <v>0</v>
      </c>
      <c r="AW53" s="3">
        <f t="shared" si="15"/>
        <v>0</v>
      </c>
      <c r="AX53" s="3">
        <f t="shared" si="15"/>
        <v>0</v>
      </c>
      <c r="AY53" s="3">
        <f t="shared" si="15"/>
        <v>0</v>
      </c>
      <c r="AZ53" s="3">
        <f t="shared" si="15"/>
        <v>0</v>
      </c>
      <c r="BA53" s="3">
        <f t="shared" si="15"/>
        <v>0</v>
      </c>
      <c r="BB53" s="3">
        <f t="shared" si="15"/>
        <v>0</v>
      </c>
      <c r="BC53" s="3">
        <f t="shared" si="15"/>
        <v>0</v>
      </c>
      <c r="BD53" s="3">
        <f t="shared" si="15"/>
        <v>0</v>
      </c>
      <c r="BE53" s="3">
        <f t="shared" si="15"/>
        <v>0</v>
      </c>
      <c r="BF53" s="3">
        <f t="shared" si="15"/>
        <v>0</v>
      </c>
      <c r="BG53" s="3">
        <f t="shared" si="15"/>
        <v>0</v>
      </c>
      <c r="BH53" s="3">
        <f t="shared" si="15"/>
        <v>0</v>
      </c>
      <c r="BI53" s="3">
        <f t="shared" si="15"/>
        <v>0</v>
      </c>
      <c r="BJ53" s="3">
        <f t="shared" si="15"/>
        <v>0</v>
      </c>
    </row>
    <row r="55" spans="4:62" x14ac:dyDescent="0.15">
      <c r="D55" s="8" t="s">
        <v>10</v>
      </c>
    </row>
    <row r="56" spans="4:62" x14ac:dyDescent="0.15">
      <c r="D56" s="9" t="str">
        <f>Вводные!$D$59</f>
        <v>Темп роста Ежегодный доход 1</v>
      </c>
      <c r="E56" s="12" t="s">
        <v>4</v>
      </c>
      <c r="I56" s="21">
        <v>1</v>
      </c>
      <c r="J56" s="5">
        <f>I56 * (1+Вводные!J59)</f>
        <v>1</v>
      </c>
      <c r="K56" s="5">
        <f>J56 * (1+Вводные!K59)</f>
        <v>1.03</v>
      </c>
      <c r="L56" s="5">
        <f>K56 * (1+Вводные!L59)</f>
        <v>1.0609</v>
      </c>
      <c r="M56" s="5">
        <f>L56 * (1+Вводные!M59)</f>
        <v>1.092727</v>
      </c>
      <c r="N56" s="5">
        <f>M56 * (1+Вводные!N59)</f>
        <v>1.1255088100000001</v>
      </c>
      <c r="O56" s="5">
        <f>N56 * (1+Вводные!O59)</f>
        <v>1.1592740743000001</v>
      </c>
      <c r="P56" s="5">
        <f>O56 * (1+Вводные!P59)</f>
        <v>1.1940522965290001</v>
      </c>
      <c r="Q56" s="5">
        <f>P56 * (1+Вводные!Q59)</f>
        <v>1.2298738654248702</v>
      </c>
      <c r="R56" s="5">
        <f>Q56 * (1+Вводные!R59)</f>
        <v>1.2667700813876164</v>
      </c>
      <c r="S56" s="5">
        <f>R56 * (1+Вводные!S59)</f>
        <v>1.3047731838292449</v>
      </c>
      <c r="T56" s="5">
        <f>S56 * (1+Вводные!T59)</f>
        <v>1.3439163793441222</v>
      </c>
      <c r="U56" s="5">
        <f>T56 * (1+Вводные!U59)</f>
        <v>1.3842338707244459</v>
      </c>
      <c r="V56" s="5">
        <f>U56 * (1+Вводные!V59)</f>
        <v>1.4257608868461793</v>
      </c>
      <c r="W56" s="5">
        <f>V56 * (1+Вводные!W59)</f>
        <v>1.4685337134515648</v>
      </c>
      <c r="X56" s="5">
        <f>W56 * (1+Вводные!X59)</f>
        <v>1.5125897248551119</v>
      </c>
      <c r="Y56" s="5">
        <f>X56 * (1+Вводные!Y59)</f>
        <v>1.5579674166007653</v>
      </c>
      <c r="Z56" s="5">
        <f>Y56 * (1+Вводные!Z59)</f>
        <v>1.6047064390987884</v>
      </c>
      <c r="AA56" s="5">
        <f>Z56 * (1+Вводные!AA59)</f>
        <v>1.652847632271752</v>
      </c>
      <c r="AB56" s="5">
        <f>AA56 * (1+Вводные!AB59)</f>
        <v>1.7024330612399046</v>
      </c>
      <c r="AC56" s="5">
        <f>AB56 * (1+Вводные!AC59)</f>
        <v>1.7535060530771018</v>
      </c>
      <c r="AD56" s="5">
        <f>AC56 * (1+Вводные!AD59)</f>
        <v>1.806111234669415</v>
      </c>
      <c r="AE56" s="5">
        <f>AD56 * (1+Вводные!AE59)</f>
        <v>1.8602945717094976</v>
      </c>
      <c r="AF56" s="5">
        <f>AE56 * (1+Вводные!AF59)</f>
        <v>1.9161034088607827</v>
      </c>
      <c r="AG56" s="5">
        <f>AF56 * (1+Вводные!AG59)</f>
        <v>1.9735865111266062</v>
      </c>
      <c r="AH56" s="5">
        <f>AG56 * (1+Вводные!AH59)</f>
        <v>2.0327941064604045</v>
      </c>
      <c r="AI56" s="5">
        <f>AH56 * (1+Вводные!AI59)</f>
        <v>2.0937779296542165</v>
      </c>
      <c r="AJ56" s="5">
        <f>AI56 * (1+Вводные!AJ59)</f>
        <v>2.1565912675438432</v>
      </c>
      <c r="AK56" s="5">
        <f>AJ56 * (1+Вводные!AK59)</f>
        <v>2.2212890055701586</v>
      </c>
      <c r="AL56" s="5">
        <f>AK56 * (1+Вводные!AL59)</f>
        <v>2.2879276757372633</v>
      </c>
      <c r="AM56" s="5">
        <f>AL56 * (1+Вводные!AM59)</f>
        <v>2.3565655060093813</v>
      </c>
      <c r="AN56" s="5">
        <f>AM56 * (1+Вводные!AN59)</f>
        <v>2.4272624711896627</v>
      </c>
      <c r="AO56" s="5">
        <f>AN56 * (1+Вводные!AO59)</f>
        <v>2.5000803453253524</v>
      </c>
      <c r="AP56" s="5">
        <f>AO56 * (1+Вводные!AP59)</f>
        <v>2.5750827556851132</v>
      </c>
      <c r="AQ56" s="5">
        <f>AP56 * (1+Вводные!AQ59)</f>
        <v>2.6523352383556666</v>
      </c>
      <c r="AR56" s="5">
        <f>AQ56 * (1+Вводные!AR59)</f>
        <v>2.7319052955063365</v>
      </c>
      <c r="AS56" s="5">
        <f>AR56 * (1+Вводные!AS59)</f>
        <v>2.8138624543715265</v>
      </c>
      <c r="AT56" s="5">
        <f>AS56 * (1+Вводные!AT59)</f>
        <v>2.8982783280026725</v>
      </c>
      <c r="AU56" s="5">
        <f>AT56 * (1+Вводные!AU59)</f>
        <v>2.9852266778427525</v>
      </c>
      <c r="AV56" s="5">
        <f>AU56 * (1+Вводные!AV59)</f>
        <v>3.074783478178035</v>
      </c>
      <c r="AW56" s="5">
        <f>AV56 * (1+Вводные!AW59)</f>
        <v>3.1670269825233763</v>
      </c>
      <c r="AX56" s="5">
        <f>AW56 * (1+Вводные!AX59)</f>
        <v>3.2620377919990777</v>
      </c>
      <c r="AY56" s="5">
        <f>AX56 * (1+Вводные!AY59)</f>
        <v>3.3598989257590501</v>
      </c>
      <c r="AZ56" s="5">
        <f>AY56 * (1+Вводные!AZ59)</f>
        <v>3.4606958935318217</v>
      </c>
      <c r="BA56" s="5">
        <f>AZ56 * (1+Вводные!BA59)</f>
        <v>3.5645167703377765</v>
      </c>
      <c r="BB56" s="5">
        <f>BA56 * (1+Вводные!BB59)</f>
        <v>3.67145227344791</v>
      </c>
      <c r="BC56" s="5">
        <f>BB56 * (1+Вводные!BC59)</f>
        <v>3.7815958416513475</v>
      </c>
      <c r="BD56" s="5">
        <f>BC56 * (1+Вводные!BD59)</f>
        <v>3.8950437169008882</v>
      </c>
      <c r="BE56" s="5">
        <f>BD56 * (1+Вводные!BE59)</f>
        <v>4.0118950284079151</v>
      </c>
      <c r="BF56" s="5">
        <f>BE56 * (1+Вводные!BF59)</f>
        <v>4.1322518792601528</v>
      </c>
      <c r="BG56" s="5">
        <f>BF56 * (1+Вводные!BG59)</f>
        <v>4.2562194356379575</v>
      </c>
      <c r="BH56" s="5">
        <f>BG56 * (1+Вводные!BH59)</f>
        <v>4.383906018707096</v>
      </c>
      <c r="BI56" s="5">
        <f>BH56 * (1+Вводные!BI59)</f>
        <v>4.5154231992683087</v>
      </c>
      <c r="BJ56" s="5">
        <f>BI56 * (1+Вводные!BJ59)</f>
        <v>4.6508858952463576</v>
      </c>
    </row>
    <row r="57" spans="4:62" x14ac:dyDescent="0.15">
      <c r="D57" s="9" t="str">
        <f>Вводные!$D$60</f>
        <v>Темп роста Ежегодный доход 2</v>
      </c>
      <c r="E57" s="12" t="s">
        <v>4</v>
      </c>
      <c r="I57" s="21">
        <v>1</v>
      </c>
      <c r="J57" s="5">
        <f>I57 * (1+Вводные!J60)</f>
        <v>1</v>
      </c>
      <c r="K57" s="5">
        <f>J57 * (1+Вводные!K60)</f>
        <v>1.03</v>
      </c>
      <c r="L57" s="5">
        <f>K57 * (1+Вводные!L60)</f>
        <v>1.0609</v>
      </c>
      <c r="M57" s="5">
        <f>L57 * (1+Вводные!M60)</f>
        <v>1.092727</v>
      </c>
      <c r="N57" s="5">
        <f>M57 * (1+Вводные!N60)</f>
        <v>1.1255088100000001</v>
      </c>
      <c r="O57" s="5">
        <f>N57 * (1+Вводные!O60)</f>
        <v>1.1592740743000001</v>
      </c>
      <c r="P57" s="5">
        <f>O57 * (1+Вводные!P60)</f>
        <v>1.1940522965290001</v>
      </c>
      <c r="Q57" s="5">
        <f>P57 * (1+Вводные!Q60)</f>
        <v>1.2298738654248702</v>
      </c>
      <c r="R57" s="5">
        <f>Q57 * (1+Вводные!R60)</f>
        <v>1.2667700813876164</v>
      </c>
      <c r="S57" s="5">
        <f>R57 * (1+Вводные!S60)</f>
        <v>1.3047731838292449</v>
      </c>
      <c r="T57" s="5">
        <f>S57 * (1+Вводные!T60)</f>
        <v>1.3439163793441222</v>
      </c>
      <c r="U57" s="5">
        <f>T57 * (1+Вводные!U60)</f>
        <v>1.3842338707244459</v>
      </c>
      <c r="V57" s="5">
        <f>U57 * (1+Вводные!V60)</f>
        <v>1.4257608868461793</v>
      </c>
      <c r="W57" s="5">
        <f>V57 * (1+Вводные!W60)</f>
        <v>1.4685337134515648</v>
      </c>
      <c r="X57" s="5">
        <f>W57 * (1+Вводные!X60)</f>
        <v>1.5125897248551119</v>
      </c>
      <c r="Y57" s="5">
        <f>X57 * (1+Вводные!Y60)</f>
        <v>1.5579674166007653</v>
      </c>
      <c r="Z57" s="5">
        <f>Y57 * (1+Вводные!Z60)</f>
        <v>1.6047064390987884</v>
      </c>
      <c r="AA57" s="5">
        <f>Z57 * (1+Вводные!AA60)</f>
        <v>1.652847632271752</v>
      </c>
      <c r="AB57" s="5">
        <f>AA57 * (1+Вводные!AB60)</f>
        <v>1.7024330612399046</v>
      </c>
      <c r="AC57" s="5">
        <f>AB57 * (1+Вводные!AC60)</f>
        <v>1.7535060530771018</v>
      </c>
      <c r="AD57" s="5">
        <f>AC57 * (1+Вводные!AD60)</f>
        <v>1.806111234669415</v>
      </c>
      <c r="AE57" s="5">
        <f>AD57 * (1+Вводные!AE60)</f>
        <v>1.8602945717094976</v>
      </c>
      <c r="AF57" s="5">
        <f>AE57 * (1+Вводные!AF60)</f>
        <v>1.9161034088607827</v>
      </c>
      <c r="AG57" s="5">
        <f>AF57 * (1+Вводные!AG60)</f>
        <v>1.9735865111266062</v>
      </c>
      <c r="AH57" s="5">
        <f>AG57 * (1+Вводные!AH60)</f>
        <v>2.0327941064604045</v>
      </c>
      <c r="AI57" s="5">
        <f>AH57 * (1+Вводные!AI60)</f>
        <v>2.0937779296542165</v>
      </c>
      <c r="AJ57" s="5">
        <f>AI57 * (1+Вводные!AJ60)</f>
        <v>2.1565912675438432</v>
      </c>
      <c r="AK57" s="5">
        <f>AJ57 * (1+Вводные!AK60)</f>
        <v>2.2212890055701586</v>
      </c>
      <c r="AL57" s="5">
        <f>AK57 * (1+Вводные!AL60)</f>
        <v>2.2879276757372633</v>
      </c>
      <c r="AM57" s="5">
        <f>AL57 * (1+Вводные!AM60)</f>
        <v>2.3565655060093813</v>
      </c>
      <c r="AN57" s="5">
        <f>AM57 * (1+Вводные!AN60)</f>
        <v>2.4272624711896627</v>
      </c>
      <c r="AO57" s="5">
        <f>AN57 * (1+Вводные!AO60)</f>
        <v>2.5000803453253524</v>
      </c>
      <c r="AP57" s="5">
        <f>AO57 * (1+Вводные!AP60)</f>
        <v>2.5750827556851132</v>
      </c>
      <c r="AQ57" s="5">
        <f>AP57 * (1+Вводные!AQ60)</f>
        <v>2.6523352383556666</v>
      </c>
      <c r="AR57" s="5">
        <f>AQ57 * (1+Вводные!AR60)</f>
        <v>2.7319052955063365</v>
      </c>
      <c r="AS57" s="5">
        <f>AR57 * (1+Вводные!AS60)</f>
        <v>2.8138624543715265</v>
      </c>
      <c r="AT57" s="5">
        <f>AS57 * (1+Вводные!AT60)</f>
        <v>2.8982783280026725</v>
      </c>
      <c r="AU57" s="5">
        <f>AT57 * (1+Вводные!AU60)</f>
        <v>2.9852266778427525</v>
      </c>
      <c r="AV57" s="5">
        <f>AU57 * (1+Вводные!AV60)</f>
        <v>3.074783478178035</v>
      </c>
      <c r="AW57" s="5">
        <f>AV57 * (1+Вводные!AW60)</f>
        <v>3.1670269825233763</v>
      </c>
      <c r="AX57" s="5">
        <f>AW57 * (1+Вводные!AX60)</f>
        <v>3.2620377919990777</v>
      </c>
      <c r="AY57" s="5">
        <f>AX57 * (1+Вводные!AY60)</f>
        <v>3.3598989257590501</v>
      </c>
      <c r="AZ57" s="5">
        <f>AY57 * (1+Вводные!AZ60)</f>
        <v>3.4606958935318217</v>
      </c>
      <c r="BA57" s="5">
        <f>AZ57 * (1+Вводные!BA60)</f>
        <v>3.5645167703377765</v>
      </c>
      <c r="BB57" s="5">
        <f>BA57 * (1+Вводные!BB60)</f>
        <v>3.67145227344791</v>
      </c>
      <c r="BC57" s="5">
        <f>BB57 * (1+Вводные!BC60)</f>
        <v>3.7815958416513475</v>
      </c>
      <c r="BD57" s="5">
        <f>BC57 * (1+Вводные!BD60)</f>
        <v>3.8950437169008882</v>
      </c>
      <c r="BE57" s="5">
        <f>BD57 * (1+Вводные!BE60)</f>
        <v>4.0118950284079151</v>
      </c>
      <c r="BF57" s="5">
        <f>BE57 * (1+Вводные!BF60)</f>
        <v>4.1322518792601528</v>
      </c>
      <c r="BG57" s="5">
        <f>BF57 * (1+Вводные!BG60)</f>
        <v>4.2562194356379575</v>
      </c>
      <c r="BH57" s="5">
        <f>BG57 * (1+Вводные!BH60)</f>
        <v>4.383906018707096</v>
      </c>
      <c r="BI57" s="5">
        <f>BH57 * (1+Вводные!BI60)</f>
        <v>4.5154231992683087</v>
      </c>
      <c r="BJ57" s="5">
        <f>BI57 * (1+Вводные!BJ60)</f>
        <v>4.6508858952463576</v>
      </c>
    </row>
    <row r="58" spans="4:62" x14ac:dyDescent="0.15">
      <c r="D58" s="9" t="str">
        <f>Вводные!$D$61</f>
        <v>Темп роста Ежегодный доход 3</v>
      </c>
      <c r="E58" s="12" t="s">
        <v>4</v>
      </c>
      <c r="I58" s="21">
        <v>1</v>
      </c>
      <c r="J58" s="5">
        <f>I58 * (1+Вводные!J61)</f>
        <v>1</v>
      </c>
      <c r="K58" s="5">
        <f>J58 * (1+Вводные!K61)</f>
        <v>1.03</v>
      </c>
      <c r="L58" s="5">
        <f>K58 * (1+Вводные!L61)</f>
        <v>1.0609</v>
      </c>
      <c r="M58" s="5">
        <f>L58 * (1+Вводные!M61)</f>
        <v>1.092727</v>
      </c>
      <c r="N58" s="5">
        <f>M58 * (1+Вводные!N61)</f>
        <v>1.1255088100000001</v>
      </c>
      <c r="O58" s="5">
        <f>N58 * (1+Вводные!O61)</f>
        <v>1.1592740743000001</v>
      </c>
      <c r="P58" s="5">
        <f>O58 * (1+Вводные!P61)</f>
        <v>1.1940522965290001</v>
      </c>
      <c r="Q58" s="5">
        <f>P58 * (1+Вводные!Q61)</f>
        <v>1.2298738654248702</v>
      </c>
      <c r="R58" s="5">
        <f>Q58 * (1+Вводные!R61)</f>
        <v>1.2667700813876164</v>
      </c>
      <c r="S58" s="5">
        <f>R58 * (1+Вводные!S61)</f>
        <v>1.3047731838292449</v>
      </c>
      <c r="T58" s="5">
        <f>S58 * (1+Вводные!T61)</f>
        <v>1.3439163793441222</v>
      </c>
      <c r="U58" s="5">
        <f>T58 * (1+Вводные!U61)</f>
        <v>1.3842338707244459</v>
      </c>
      <c r="V58" s="5">
        <f>U58 * (1+Вводные!V61)</f>
        <v>1.4257608868461793</v>
      </c>
      <c r="W58" s="5">
        <f>V58 * (1+Вводные!W61)</f>
        <v>1.4685337134515648</v>
      </c>
      <c r="X58" s="5">
        <f>W58 * (1+Вводные!X61)</f>
        <v>1.5125897248551119</v>
      </c>
      <c r="Y58" s="5">
        <f>X58 * (1+Вводные!Y61)</f>
        <v>1.5579674166007653</v>
      </c>
      <c r="Z58" s="5">
        <f>Y58 * (1+Вводные!Z61)</f>
        <v>1.6047064390987884</v>
      </c>
      <c r="AA58" s="5">
        <f>Z58 * (1+Вводные!AA61)</f>
        <v>1.652847632271752</v>
      </c>
      <c r="AB58" s="5">
        <f>AA58 * (1+Вводные!AB61)</f>
        <v>1.7024330612399046</v>
      </c>
      <c r="AC58" s="5">
        <f>AB58 * (1+Вводные!AC61)</f>
        <v>1.7535060530771018</v>
      </c>
      <c r="AD58" s="5">
        <f>AC58 * (1+Вводные!AD61)</f>
        <v>1.806111234669415</v>
      </c>
      <c r="AE58" s="5">
        <f>AD58 * (1+Вводные!AE61)</f>
        <v>1.8602945717094976</v>
      </c>
      <c r="AF58" s="5">
        <f>AE58 * (1+Вводные!AF61)</f>
        <v>1.9161034088607827</v>
      </c>
      <c r="AG58" s="5">
        <f>AF58 * (1+Вводные!AG61)</f>
        <v>1.9735865111266062</v>
      </c>
      <c r="AH58" s="5">
        <f>AG58 * (1+Вводные!AH61)</f>
        <v>2.0327941064604045</v>
      </c>
      <c r="AI58" s="5">
        <f>AH58 * (1+Вводные!AI61)</f>
        <v>2.0937779296542165</v>
      </c>
      <c r="AJ58" s="5">
        <f>AI58 * (1+Вводные!AJ61)</f>
        <v>2.1565912675438432</v>
      </c>
      <c r="AK58" s="5">
        <f>AJ58 * (1+Вводные!AK61)</f>
        <v>2.2212890055701586</v>
      </c>
      <c r="AL58" s="5">
        <f>AK58 * (1+Вводные!AL61)</f>
        <v>2.2879276757372633</v>
      </c>
      <c r="AM58" s="5">
        <f>AL58 * (1+Вводные!AM61)</f>
        <v>2.3565655060093813</v>
      </c>
      <c r="AN58" s="5">
        <f>AM58 * (1+Вводные!AN61)</f>
        <v>2.4272624711896627</v>
      </c>
      <c r="AO58" s="5">
        <f>AN58 * (1+Вводные!AO61)</f>
        <v>2.5000803453253524</v>
      </c>
      <c r="AP58" s="5">
        <f>AO58 * (1+Вводные!AP61)</f>
        <v>2.5750827556851132</v>
      </c>
      <c r="AQ58" s="5">
        <f>AP58 * (1+Вводные!AQ61)</f>
        <v>2.6523352383556666</v>
      </c>
      <c r="AR58" s="5">
        <f>AQ58 * (1+Вводные!AR61)</f>
        <v>2.7319052955063365</v>
      </c>
      <c r="AS58" s="5">
        <f>AR58 * (1+Вводные!AS61)</f>
        <v>2.8138624543715265</v>
      </c>
      <c r="AT58" s="5">
        <f>AS58 * (1+Вводные!AT61)</f>
        <v>2.8982783280026725</v>
      </c>
      <c r="AU58" s="5">
        <f>AT58 * (1+Вводные!AU61)</f>
        <v>2.9852266778427525</v>
      </c>
      <c r="AV58" s="5">
        <f>AU58 * (1+Вводные!AV61)</f>
        <v>3.074783478178035</v>
      </c>
      <c r="AW58" s="5">
        <f>AV58 * (1+Вводные!AW61)</f>
        <v>3.1670269825233763</v>
      </c>
      <c r="AX58" s="5">
        <f>AW58 * (1+Вводные!AX61)</f>
        <v>3.2620377919990777</v>
      </c>
      <c r="AY58" s="5">
        <f>AX58 * (1+Вводные!AY61)</f>
        <v>3.3598989257590501</v>
      </c>
      <c r="AZ58" s="5">
        <f>AY58 * (1+Вводные!AZ61)</f>
        <v>3.4606958935318217</v>
      </c>
      <c r="BA58" s="5">
        <f>AZ58 * (1+Вводные!BA61)</f>
        <v>3.5645167703377765</v>
      </c>
      <c r="BB58" s="5">
        <f>BA58 * (1+Вводные!BB61)</f>
        <v>3.67145227344791</v>
      </c>
      <c r="BC58" s="5">
        <f>BB58 * (1+Вводные!BC61)</f>
        <v>3.7815958416513475</v>
      </c>
      <c r="BD58" s="5">
        <f>BC58 * (1+Вводные!BD61)</f>
        <v>3.8950437169008882</v>
      </c>
      <c r="BE58" s="5">
        <f>BD58 * (1+Вводные!BE61)</f>
        <v>4.0118950284079151</v>
      </c>
      <c r="BF58" s="5">
        <f>BE58 * (1+Вводные!BF61)</f>
        <v>4.1322518792601528</v>
      </c>
      <c r="BG58" s="5">
        <f>BF58 * (1+Вводные!BG61)</f>
        <v>4.2562194356379575</v>
      </c>
      <c r="BH58" s="5">
        <f>BG58 * (1+Вводные!BH61)</f>
        <v>4.383906018707096</v>
      </c>
      <c r="BI58" s="5">
        <f>BH58 * (1+Вводные!BI61)</f>
        <v>4.5154231992683087</v>
      </c>
      <c r="BJ58" s="5">
        <f>BI58 * (1+Вводные!BJ61)</f>
        <v>4.6508858952463576</v>
      </c>
    </row>
    <row r="59" spans="4:62" x14ac:dyDescent="0.15">
      <c r="D59" s="9" t="str">
        <f>Вводные!$D$62</f>
        <v>Темп роста Ежегодный доход 4</v>
      </c>
      <c r="E59" s="12" t="s">
        <v>4</v>
      </c>
      <c r="I59" s="21">
        <v>1</v>
      </c>
      <c r="J59" s="5">
        <f>I59 * (1+Вводные!J62)</f>
        <v>1</v>
      </c>
      <c r="K59" s="5">
        <f>J59 * (1+Вводные!K62)</f>
        <v>1.03</v>
      </c>
      <c r="L59" s="5">
        <f>K59 * (1+Вводные!L62)</f>
        <v>1.0609</v>
      </c>
      <c r="M59" s="5">
        <f>L59 * (1+Вводные!M62)</f>
        <v>1.092727</v>
      </c>
      <c r="N59" s="5">
        <f>M59 * (1+Вводные!N62)</f>
        <v>1.1255088100000001</v>
      </c>
      <c r="O59" s="5">
        <f>N59 * (1+Вводные!O62)</f>
        <v>1.1592740743000001</v>
      </c>
      <c r="P59" s="5">
        <f>O59 * (1+Вводные!P62)</f>
        <v>1.1940522965290001</v>
      </c>
      <c r="Q59" s="5">
        <f>P59 * (1+Вводные!Q62)</f>
        <v>1.2298738654248702</v>
      </c>
      <c r="R59" s="5">
        <f>Q59 * (1+Вводные!R62)</f>
        <v>1.2667700813876164</v>
      </c>
      <c r="S59" s="5">
        <f>R59 * (1+Вводные!S62)</f>
        <v>1.3047731838292449</v>
      </c>
      <c r="T59" s="5">
        <f>S59 * (1+Вводные!T62)</f>
        <v>1.3439163793441222</v>
      </c>
      <c r="U59" s="5">
        <f>T59 * (1+Вводные!U62)</f>
        <v>1.3842338707244459</v>
      </c>
      <c r="V59" s="5">
        <f>U59 * (1+Вводные!V62)</f>
        <v>1.4257608868461793</v>
      </c>
      <c r="W59" s="5">
        <f>V59 * (1+Вводные!W62)</f>
        <v>1.4685337134515648</v>
      </c>
      <c r="X59" s="5">
        <f>W59 * (1+Вводные!X62)</f>
        <v>1.5125897248551119</v>
      </c>
      <c r="Y59" s="5">
        <f>X59 * (1+Вводные!Y62)</f>
        <v>1.5579674166007653</v>
      </c>
      <c r="Z59" s="5">
        <f>Y59 * (1+Вводные!Z62)</f>
        <v>1.6047064390987884</v>
      </c>
      <c r="AA59" s="5">
        <f>Z59 * (1+Вводные!AA62)</f>
        <v>1.652847632271752</v>
      </c>
      <c r="AB59" s="5">
        <f>AA59 * (1+Вводные!AB62)</f>
        <v>1.7024330612399046</v>
      </c>
      <c r="AC59" s="5">
        <f>AB59 * (1+Вводные!AC62)</f>
        <v>1.7535060530771018</v>
      </c>
      <c r="AD59" s="5">
        <f>AC59 * (1+Вводные!AD62)</f>
        <v>1.806111234669415</v>
      </c>
      <c r="AE59" s="5">
        <f>AD59 * (1+Вводные!AE62)</f>
        <v>1.8602945717094976</v>
      </c>
      <c r="AF59" s="5">
        <f>AE59 * (1+Вводные!AF62)</f>
        <v>1.9161034088607827</v>
      </c>
      <c r="AG59" s="5">
        <f>AF59 * (1+Вводные!AG62)</f>
        <v>1.9735865111266062</v>
      </c>
      <c r="AH59" s="5">
        <f>AG59 * (1+Вводные!AH62)</f>
        <v>2.0327941064604045</v>
      </c>
      <c r="AI59" s="5">
        <f>AH59 * (1+Вводные!AI62)</f>
        <v>2.0937779296542165</v>
      </c>
      <c r="AJ59" s="5">
        <f>AI59 * (1+Вводные!AJ62)</f>
        <v>2.1565912675438432</v>
      </c>
      <c r="AK59" s="5">
        <f>AJ59 * (1+Вводные!AK62)</f>
        <v>2.2212890055701586</v>
      </c>
      <c r="AL59" s="5">
        <f>AK59 * (1+Вводные!AL62)</f>
        <v>2.2879276757372633</v>
      </c>
      <c r="AM59" s="5">
        <f>AL59 * (1+Вводные!AM62)</f>
        <v>2.3565655060093813</v>
      </c>
      <c r="AN59" s="5">
        <f>AM59 * (1+Вводные!AN62)</f>
        <v>2.4272624711896627</v>
      </c>
      <c r="AO59" s="5">
        <f>AN59 * (1+Вводные!AO62)</f>
        <v>2.5000803453253524</v>
      </c>
      <c r="AP59" s="5">
        <f>AO59 * (1+Вводные!AP62)</f>
        <v>2.5750827556851132</v>
      </c>
      <c r="AQ59" s="5">
        <f>AP59 * (1+Вводные!AQ62)</f>
        <v>2.6523352383556666</v>
      </c>
      <c r="AR59" s="5">
        <f>AQ59 * (1+Вводные!AR62)</f>
        <v>2.7319052955063365</v>
      </c>
      <c r="AS59" s="5">
        <f>AR59 * (1+Вводные!AS62)</f>
        <v>2.8138624543715265</v>
      </c>
      <c r="AT59" s="5">
        <f>AS59 * (1+Вводные!AT62)</f>
        <v>2.8982783280026725</v>
      </c>
      <c r="AU59" s="5">
        <f>AT59 * (1+Вводные!AU62)</f>
        <v>2.9852266778427525</v>
      </c>
      <c r="AV59" s="5">
        <f>AU59 * (1+Вводные!AV62)</f>
        <v>3.074783478178035</v>
      </c>
      <c r="AW59" s="5">
        <f>AV59 * (1+Вводные!AW62)</f>
        <v>3.1670269825233763</v>
      </c>
      <c r="AX59" s="5">
        <f>AW59 * (1+Вводные!AX62)</f>
        <v>3.2620377919990777</v>
      </c>
      <c r="AY59" s="5">
        <f>AX59 * (1+Вводные!AY62)</f>
        <v>3.3598989257590501</v>
      </c>
      <c r="AZ59" s="5">
        <f>AY59 * (1+Вводные!AZ62)</f>
        <v>3.4606958935318217</v>
      </c>
      <c r="BA59" s="5">
        <f>AZ59 * (1+Вводные!BA62)</f>
        <v>3.5645167703377765</v>
      </c>
      <c r="BB59" s="5">
        <f>BA59 * (1+Вводные!BB62)</f>
        <v>3.67145227344791</v>
      </c>
      <c r="BC59" s="5">
        <f>BB59 * (1+Вводные!BC62)</f>
        <v>3.7815958416513475</v>
      </c>
      <c r="BD59" s="5">
        <f>BC59 * (1+Вводные!BD62)</f>
        <v>3.8950437169008882</v>
      </c>
      <c r="BE59" s="5">
        <f>BD59 * (1+Вводные!BE62)</f>
        <v>4.0118950284079151</v>
      </c>
      <c r="BF59" s="5">
        <f>BE59 * (1+Вводные!BF62)</f>
        <v>4.1322518792601528</v>
      </c>
      <c r="BG59" s="5">
        <f>BF59 * (1+Вводные!BG62)</f>
        <v>4.2562194356379575</v>
      </c>
      <c r="BH59" s="5">
        <f>BG59 * (1+Вводные!BH62)</f>
        <v>4.383906018707096</v>
      </c>
      <c r="BI59" s="5">
        <f>BH59 * (1+Вводные!BI62)</f>
        <v>4.5154231992683087</v>
      </c>
      <c r="BJ59" s="5">
        <f>BI59 * (1+Вводные!BJ62)</f>
        <v>4.6508858952463576</v>
      </c>
    </row>
    <row r="60" spans="4:62" x14ac:dyDescent="0.15">
      <c r="D60" s="9" t="str">
        <f>Вводные!$D$63</f>
        <v>Темп роста Ежегодный доход 5</v>
      </c>
      <c r="E60" s="12" t="s">
        <v>4</v>
      </c>
      <c r="I60" s="21">
        <v>1</v>
      </c>
      <c r="J60" s="5">
        <f>I60 * (1+Вводные!J63)</f>
        <v>1</v>
      </c>
      <c r="K60" s="5">
        <f>J60 * (1+Вводные!K63)</f>
        <v>1.03</v>
      </c>
      <c r="L60" s="5">
        <f>K60 * (1+Вводные!L63)</f>
        <v>1.0609</v>
      </c>
      <c r="M60" s="5">
        <f>L60 * (1+Вводные!M63)</f>
        <v>1.092727</v>
      </c>
      <c r="N60" s="5">
        <f>M60 * (1+Вводные!N63)</f>
        <v>1.1255088100000001</v>
      </c>
      <c r="O60" s="5">
        <f>N60 * (1+Вводные!O63)</f>
        <v>1.1592740743000001</v>
      </c>
      <c r="P60" s="5">
        <f>O60 * (1+Вводные!P63)</f>
        <v>1.1940522965290001</v>
      </c>
      <c r="Q60" s="5">
        <f>P60 * (1+Вводные!Q63)</f>
        <v>1.2298738654248702</v>
      </c>
      <c r="R60" s="5">
        <f>Q60 * (1+Вводные!R63)</f>
        <v>1.2667700813876164</v>
      </c>
      <c r="S60" s="5">
        <f>R60 * (1+Вводные!S63)</f>
        <v>1.3047731838292449</v>
      </c>
      <c r="T60" s="5">
        <f>S60 * (1+Вводные!T63)</f>
        <v>1.3439163793441222</v>
      </c>
      <c r="U60" s="5">
        <f>T60 * (1+Вводные!U63)</f>
        <v>1.3842338707244459</v>
      </c>
      <c r="V60" s="5">
        <f>U60 * (1+Вводные!V63)</f>
        <v>1.4257608868461793</v>
      </c>
      <c r="W60" s="5">
        <f>V60 * (1+Вводные!W63)</f>
        <v>1.4685337134515648</v>
      </c>
      <c r="X60" s="5">
        <f>W60 * (1+Вводные!X63)</f>
        <v>1.5125897248551119</v>
      </c>
      <c r="Y60" s="5">
        <f>X60 * (1+Вводные!Y63)</f>
        <v>1.5579674166007653</v>
      </c>
      <c r="Z60" s="5">
        <f>Y60 * (1+Вводные!Z63)</f>
        <v>1.6047064390987884</v>
      </c>
      <c r="AA60" s="5">
        <f>Z60 * (1+Вводные!AA63)</f>
        <v>1.652847632271752</v>
      </c>
      <c r="AB60" s="5">
        <f>AA60 * (1+Вводные!AB63)</f>
        <v>1.7024330612399046</v>
      </c>
      <c r="AC60" s="5">
        <f>AB60 * (1+Вводные!AC63)</f>
        <v>1.7535060530771018</v>
      </c>
      <c r="AD60" s="5">
        <f>AC60 * (1+Вводные!AD63)</f>
        <v>1.806111234669415</v>
      </c>
      <c r="AE60" s="5">
        <f>AD60 * (1+Вводные!AE63)</f>
        <v>1.8602945717094976</v>
      </c>
      <c r="AF60" s="5">
        <f>AE60 * (1+Вводные!AF63)</f>
        <v>1.9161034088607827</v>
      </c>
      <c r="AG60" s="5">
        <f>AF60 * (1+Вводные!AG63)</f>
        <v>1.9735865111266062</v>
      </c>
      <c r="AH60" s="5">
        <f>AG60 * (1+Вводные!AH63)</f>
        <v>2.0327941064604045</v>
      </c>
      <c r="AI60" s="5">
        <f>AH60 * (1+Вводные!AI63)</f>
        <v>2.0937779296542165</v>
      </c>
      <c r="AJ60" s="5">
        <f>AI60 * (1+Вводные!AJ63)</f>
        <v>2.1565912675438432</v>
      </c>
      <c r="AK60" s="5">
        <f>AJ60 * (1+Вводные!AK63)</f>
        <v>2.2212890055701586</v>
      </c>
      <c r="AL60" s="5">
        <f>AK60 * (1+Вводные!AL63)</f>
        <v>2.2879276757372633</v>
      </c>
      <c r="AM60" s="5">
        <f>AL60 * (1+Вводные!AM63)</f>
        <v>2.3565655060093813</v>
      </c>
      <c r="AN60" s="5">
        <f>AM60 * (1+Вводные!AN63)</f>
        <v>2.4272624711896627</v>
      </c>
      <c r="AO60" s="5">
        <f>AN60 * (1+Вводные!AO63)</f>
        <v>2.5000803453253524</v>
      </c>
      <c r="AP60" s="5">
        <f>AO60 * (1+Вводные!AP63)</f>
        <v>2.5750827556851132</v>
      </c>
      <c r="AQ60" s="5">
        <f>AP60 * (1+Вводные!AQ63)</f>
        <v>2.6523352383556666</v>
      </c>
      <c r="AR60" s="5">
        <f>AQ60 * (1+Вводные!AR63)</f>
        <v>2.7319052955063365</v>
      </c>
      <c r="AS60" s="5">
        <f>AR60 * (1+Вводные!AS63)</f>
        <v>2.8138624543715265</v>
      </c>
      <c r="AT60" s="5">
        <f>AS60 * (1+Вводные!AT63)</f>
        <v>2.8982783280026725</v>
      </c>
      <c r="AU60" s="5">
        <f>AT60 * (1+Вводные!AU63)</f>
        <v>2.9852266778427525</v>
      </c>
      <c r="AV60" s="5">
        <f>AU60 * (1+Вводные!AV63)</f>
        <v>3.074783478178035</v>
      </c>
      <c r="AW60" s="5">
        <f>AV60 * (1+Вводные!AW63)</f>
        <v>3.1670269825233763</v>
      </c>
      <c r="AX60" s="5">
        <f>AW60 * (1+Вводные!AX63)</f>
        <v>3.2620377919990777</v>
      </c>
      <c r="AY60" s="5">
        <f>AX60 * (1+Вводные!AY63)</f>
        <v>3.3598989257590501</v>
      </c>
      <c r="AZ60" s="5">
        <f>AY60 * (1+Вводные!AZ63)</f>
        <v>3.4606958935318217</v>
      </c>
      <c r="BA60" s="5">
        <f>AZ60 * (1+Вводные!BA63)</f>
        <v>3.5645167703377765</v>
      </c>
      <c r="BB60" s="5">
        <f>BA60 * (1+Вводные!BB63)</f>
        <v>3.67145227344791</v>
      </c>
      <c r="BC60" s="5">
        <f>BB60 * (1+Вводные!BC63)</f>
        <v>3.7815958416513475</v>
      </c>
      <c r="BD60" s="5">
        <f>BC60 * (1+Вводные!BD63)</f>
        <v>3.8950437169008882</v>
      </c>
      <c r="BE60" s="5">
        <f>BD60 * (1+Вводные!BE63)</f>
        <v>4.0118950284079151</v>
      </c>
      <c r="BF60" s="5">
        <f>BE60 * (1+Вводные!BF63)</f>
        <v>4.1322518792601528</v>
      </c>
      <c r="BG60" s="5">
        <f>BF60 * (1+Вводные!BG63)</f>
        <v>4.2562194356379575</v>
      </c>
      <c r="BH60" s="5">
        <f>BG60 * (1+Вводные!BH63)</f>
        <v>4.383906018707096</v>
      </c>
      <c r="BI60" s="5">
        <f>BH60 * (1+Вводные!BI63)</f>
        <v>4.5154231992683087</v>
      </c>
      <c r="BJ60" s="5">
        <f>BI60 * (1+Вводные!BJ63)</f>
        <v>4.6508858952463576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7A0B3-2AC3-4115-9106-3D224A23E6A0}">
  <sheetPr>
    <tabColor theme="0" tint="-0.249977111117893"/>
  </sheetPr>
  <dimension ref="A2:BM121"/>
  <sheetViews>
    <sheetView showGridLines="0" zoomScale="150" zoomScaleNormal="150" workbookViewId="0">
      <pane xSplit="7" ySplit="6" topLeftCell="H7" activePane="bottomRight" state="frozen"/>
      <selection activeCell="D12" sqref="D12:M25"/>
      <selection pane="topRight" activeCell="D12" sqref="D12:M25"/>
      <selection pane="bottomLeft" activeCell="D12" sqref="D12:M25"/>
      <selection pane="bottomRight" activeCell="D12" sqref="D12:M25"/>
    </sheetView>
  </sheetViews>
  <sheetFormatPr baseColWidth="10" defaultColWidth="0" defaultRowHeight="11" x14ac:dyDescent="0.15"/>
  <cols>
    <col min="1" max="1" width="2.75" customWidth="1"/>
    <col min="2" max="3" width="3.75" customWidth="1"/>
    <col min="4" max="4" width="40.75" customWidth="1"/>
    <col min="5" max="7" width="9" customWidth="1"/>
    <col min="8" max="8" width="2.75" customWidth="1"/>
    <col min="9" max="63" width="10.75" customWidth="1"/>
    <col min="64" max="65" width="0" hidden="1" customWidth="1"/>
    <col min="66" max="16384" width="9" hidden="1"/>
  </cols>
  <sheetData>
    <row r="2" spans="2:62" x14ac:dyDescent="0.15">
      <c r="E2" s="12"/>
    </row>
    <row r="3" spans="2:62" x14ac:dyDescent="0.15">
      <c r="D3" s="8" t="str">
        <f>Вводные!D3</f>
        <v>Год</v>
      </c>
      <c r="E3" s="12"/>
      <c r="J3" s="8">
        <f>Вводные!J3</f>
        <v>2024</v>
      </c>
      <c r="K3" s="8">
        <f>Вводные!K3</f>
        <v>2025</v>
      </c>
      <c r="L3" s="8">
        <f>Вводные!L3</f>
        <v>2026</v>
      </c>
      <c r="M3" s="8">
        <f>Вводные!M3</f>
        <v>2027</v>
      </c>
      <c r="N3" s="8">
        <f>Вводные!N3</f>
        <v>2028</v>
      </c>
      <c r="O3" s="8">
        <f>Вводные!O3</f>
        <v>2029</v>
      </c>
      <c r="P3" s="8">
        <f>Вводные!P3</f>
        <v>2030</v>
      </c>
      <c r="Q3" s="8">
        <f>Вводные!Q3</f>
        <v>2031</v>
      </c>
      <c r="R3" s="8">
        <f>Вводные!R3</f>
        <v>2032</v>
      </c>
      <c r="S3" s="8">
        <f>Вводные!S3</f>
        <v>2033</v>
      </c>
      <c r="T3" s="8">
        <f>Вводные!T3</f>
        <v>2034</v>
      </c>
      <c r="U3" s="8">
        <f>Вводные!U3</f>
        <v>2035</v>
      </c>
      <c r="V3" s="8">
        <f>Вводные!V3</f>
        <v>2036</v>
      </c>
      <c r="W3" s="8">
        <f>Вводные!W3</f>
        <v>2037</v>
      </c>
      <c r="X3" s="8">
        <f>Вводные!X3</f>
        <v>2038</v>
      </c>
      <c r="Y3" s="8">
        <f>Вводные!Y3</f>
        <v>2039</v>
      </c>
      <c r="Z3" s="8">
        <f>Вводные!Z3</f>
        <v>2040</v>
      </c>
      <c r="AA3" s="8">
        <f>Вводные!AA3</f>
        <v>2041</v>
      </c>
      <c r="AB3" s="8">
        <f>Вводные!AB3</f>
        <v>2042</v>
      </c>
      <c r="AC3" s="8">
        <f>Вводные!AC3</f>
        <v>2043</v>
      </c>
      <c r="AD3" s="8">
        <f>Вводные!AD3</f>
        <v>2044</v>
      </c>
      <c r="AE3" s="8">
        <f>Вводные!AE3</f>
        <v>2045</v>
      </c>
      <c r="AF3" s="8">
        <f>Вводные!AF3</f>
        <v>2046</v>
      </c>
      <c r="AG3" s="8">
        <f>Вводные!AG3</f>
        <v>2047</v>
      </c>
      <c r="AH3" s="8">
        <f>Вводные!AH3</f>
        <v>2048</v>
      </c>
      <c r="AI3" s="8">
        <f>Вводные!AI3</f>
        <v>2049</v>
      </c>
      <c r="AJ3" s="8">
        <f>Вводные!AJ3</f>
        <v>2050</v>
      </c>
      <c r="AK3" s="8">
        <f>Вводные!AK3</f>
        <v>2051</v>
      </c>
      <c r="AL3" s="8">
        <f>Вводные!AL3</f>
        <v>2052</v>
      </c>
      <c r="AM3" s="8">
        <f>Вводные!AM3</f>
        <v>2053</v>
      </c>
      <c r="AN3" s="8">
        <f>Вводные!AN3</f>
        <v>2054</v>
      </c>
      <c r="AO3" s="8">
        <f>Вводные!AO3</f>
        <v>2055</v>
      </c>
      <c r="AP3" s="8">
        <f>Вводные!AP3</f>
        <v>2056</v>
      </c>
      <c r="AQ3" s="8">
        <f>Вводные!AQ3</f>
        <v>2057</v>
      </c>
      <c r="AR3" s="8">
        <f>Вводные!AR3</f>
        <v>2058</v>
      </c>
      <c r="AS3" s="8">
        <f>Вводные!AS3</f>
        <v>2059</v>
      </c>
      <c r="AT3" s="8">
        <f>Вводные!AT3</f>
        <v>2060</v>
      </c>
      <c r="AU3" s="8">
        <f>Вводные!AU3</f>
        <v>2061</v>
      </c>
      <c r="AV3" s="8">
        <f>Вводные!AV3</f>
        <v>2062</v>
      </c>
      <c r="AW3" s="8">
        <f>Вводные!AW3</f>
        <v>2063</v>
      </c>
      <c r="AX3" s="8">
        <f>Вводные!AX3</f>
        <v>2064</v>
      </c>
      <c r="AY3" s="8">
        <f>Вводные!AY3</f>
        <v>2065</v>
      </c>
      <c r="AZ3" s="8">
        <f>Вводные!AZ3</f>
        <v>2066</v>
      </c>
      <c r="BA3" s="8">
        <f>Вводные!BA3</f>
        <v>2067</v>
      </c>
      <c r="BB3" s="8">
        <f>Вводные!BB3</f>
        <v>2068</v>
      </c>
      <c r="BC3" s="8">
        <f>Вводные!BC3</f>
        <v>2069</v>
      </c>
      <c r="BD3" s="8">
        <f>Вводные!BD3</f>
        <v>2070</v>
      </c>
      <c r="BE3" s="8">
        <f>Вводные!BE3</f>
        <v>2071</v>
      </c>
      <c r="BF3" s="8">
        <f>Вводные!BF3</f>
        <v>2072</v>
      </c>
      <c r="BG3" s="8">
        <f>Вводные!BG3</f>
        <v>2073</v>
      </c>
      <c r="BH3" s="8">
        <f>Вводные!BH3</f>
        <v>2074</v>
      </c>
      <c r="BI3" s="8">
        <f>Вводные!BI3</f>
        <v>2075</v>
      </c>
      <c r="BJ3" s="8">
        <f>Вводные!BJ3</f>
        <v>2076</v>
      </c>
    </row>
    <row r="4" spans="2:62" x14ac:dyDescent="0.15">
      <c r="D4" t="str">
        <f>Вводные!D4</f>
        <v>Возраст</v>
      </c>
      <c r="E4" s="12"/>
      <c r="J4">
        <f>Вводные!J4</f>
        <v>31</v>
      </c>
      <c r="K4">
        <f>Вводные!K4</f>
        <v>32</v>
      </c>
      <c r="L4">
        <f>Вводные!L4</f>
        <v>33</v>
      </c>
      <c r="M4">
        <f>Вводные!M4</f>
        <v>34</v>
      </c>
      <c r="N4">
        <f>Вводные!N4</f>
        <v>35</v>
      </c>
      <c r="O4">
        <f>Вводные!O4</f>
        <v>36</v>
      </c>
      <c r="P4">
        <f>Вводные!P4</f>
        <v>37</v>
      </c>
      <c r="Q4">
        <f>Вводные!Q4</f>
        <v>38</v>
      </c>
      <c r="R4">
        <f>Вводные!R4</f>
        <v>39</v>
      </c>
      <c r="S4">
        <f>Вводные!S4</f>
        <v>40</v>
      </c>
      <c r="T4">
        <f>Вводные!T4</f>
        <v>41</v>
      </c>
      <c r="U4">
        <f>Вводные!U4</f>
        <v>42</v>
      </c>
      <c r="V4">
        <f>Вводные!V4</f>
        <v>43</v>
      </c>
      <c r="W4">
        <f>Вводные!W4</f>
        <v>44</v>
      </c>
      <c r="X4">
        <f>Вводные!X4</f>
        <v>45</v>
      </c>
      <c r="Y4">
        <f>Вводные!Y4</f>
        <v>46</v>
      </c>
      <c r="Z4">
        <f>Вводные!Z4</f>
        <v>47</v>
      </c>
      <c r="AA4">
        <f>Вводные!AA4</f>
        <v>48</v>
      </c>
      <c r="AB4">
        <f>Вводные!AB4</f>
        <v>49</v>
      </c>
      <c r="AC4">
        <f>Вводные!AC4</f>
        <v>50</v>
      </c>
      <c r="AD4">
        <f>Вводные!AD4</f>
        <v>51</v>
      </c>
      <c r="AE4">
        <f>Вводные!AE4</f>
        <v>52</v>
      </c>
      <c r="AF4">
        <f>Вводные!AF4</f>
        <v>53</v>
      </c>
      <c r="AG4">
        <f>Вводные!AG4</f>
        <v>54</v>
      </c>
      <c r="AH4">
        <f>Вводные!AH4</f>
        <v>55</v>
      </c>
      <c r="AI4">
        <f>Вводные!AI4</f>
        <v>56</v>
      </c>
      <c r="AJ4">
        <f>Вводные!AJ4</f>
        <v>57</v>
      </c>
      <c r="AK4">
        <f>Вводные!AK4</f>
        <v>58</v>
      </c>
      <c r="AL4">
        <f>Вводные!AL4</f>
        <v>59</v>
      </c>
      <c r="AM4">
        <f>Вводные!AM4</f>
        <v>60</v>
      </c>
      <c r="AN4">
        <f>Вводные!AN4</f>
        <v>61</v>
      </c>
      <c r="AO4">
        <f>Вводные!AO4</f>
        <v>62</v>
      </c>
      <c r="AP4">
        <f>Вводные!AP4</f>
        <v>63</v>
      </c>
      <c r="AQ4">
        <f>Вводные!AQ4</f>
        <v>64</v>
      </c>
      <c r="AR4">
        <f>Вводные!AR4</f>
        <v>65</v>
      </c>
      <c r="AS4">
        <f>Вводные!AS4</f>
        <v>66</v>
      </c>
      <c r="AT4">
        <f>Вводные!AT4</f>
        <v>67</v>
      </c>
      <c r="AU4">
        <f>Вводные!AU4</f>
        <v>68</v>
      </c>
      <c r="AV4">
        <f>Вводные!AV4</f>
        <v>69</v>
      </c>
      <c r="AW4">
        <f>Вводные!AW4</f>
        <v>70</v>
      </c>
      <c r="AX4">
        <f>Вводные!AX4</f>
        <v>71</v>
      </c>
      <c r="AY4">
        <f>Вводные!AY4</f>
        <v>72</v>
      </c>
      <c r="AZ4">
        <f>Вводные!AZ4</f>
        <v>73</v>
      </c>
      <c r="BA4">
        <f>Вводные!BA4</f>
        <v>74</v>
      </c>
      <c r="BB4">
        <f>Вводные!BB4</f>
        <v>75</v>
      </c>
      <c r="BC4">
        <f>Вводные!BC4</f>
        <v>76</v>
      </c>
      <c r="BD4">
        <f>Вводные!BD4</f>
        <v>77</v>
      </c>
      <c r="BE4">
        <f>Вводные!BE4</f>
        <v>78</v>
      </c>
      <c r="BF4">
        <f>Вводные!BF4</f>
        <v>79</v>
      </c>
      <c r="BG4">
        <f>Вводные!BG4</f>
        <v>80</v>
      </c>
      <c r="BH4">
        <f>Вводные!BH4</f>
        <v>81</v>
      </c>
      <c r="BI4">
        <f>Вводные!BI4</f>
        <v>82</v>
      </c>
      <c r="BJ4">
        <f>Вводные!BJ4</f>
        <v>83</v>
      </c>
    </row>
    <row r="5" spans="2:62" x14ac:dyDescent="0.15">
      <c r="D5" t="str">
        <f>Вводные!D5</f>
        <v>№ периода</v>
      </c>
      <c r="E5" s="12"/>
      <c r="J5">
        <f>Вводные!J5</f>
        <v>1</v>
      </c>
      <c r="K5">
        <f>Вводные!K5</f>
        <v>2</v>
      </c>
      <c r="L5">
        <f>Вводные!L5</f>
        <v>3</v>
      </c>
      <c r="M5">
        <f>Вводные!M5</f>
        <v>4</v>
      </c>
      <c r="N5">
        <f>Вводные!N5</f>
        <v>5</v>
      </c>
      <c r="O5">
        <f>Вводные!O5</f>
        <v>6</v>
      </c>
      <c r="P5">
        <f>Вводные!P5</f>
        <v>7</v>
      </c>
      <c r="Q5">
        <f>Вводные!Q5</f>
        <v>8</v>
      </c>
      <c r="R5">
        <f>Вводные!R5</f>
        <v>9</v>
      </c>
      <c r="S5">
        <f>Вводные!S5</f>
        <v>10</v>
      </c>
      <c r="T5">
        <f>Вводные!T5</f>
        <v>11</v>
      </c>
      <c r="U5">
        <f>Вводные!U5</f>
        <v>12</v>
      </c>
      <c r="V5">
        <f>Вводные!V5</f>
        <v>13</v>
      </c>
      <c r="W5">
        <f>Вводные!W5</f>
        <v>14</v>
      </c>
      <c r="X5">
        <f>Вводные!X5</f>
        <v>15</v>
      </c>
      <c r="Y5">
        <f>Вводные!Y5</f>
        <v>16</v>
      </c>
      <c r="Z5">
        <f>Вводные!Z5</f>
        <v>17</v>
      </c>
      <c r="AA5">
        <f>Вводные!AA5</f>
        <v>18</v>
      </c>
      <c r="AB5">
        <f>Вводные!AB5</f>
        <v>19</v>
      </c>
      <c r="AC5">
        <f>Вводные!AC5</f>
        <v>20</v>
      </c>
      <c r="AD5">
        <f>Вводные!AD5</f>
        <v>21</v>
      </c>
      <c r="AE5">
        <f>Вводные!AE5</f>
        <v>22</v>
      </c>
      <c r="AF5">
        <f>Вводные!AF5</f>
        <v>23</v>
      </c>
      <c r="AG5">
        <f>Вводные!AG5</f>
        <v>24</v>
      </c>
      <c r="AH5">
        <f>Вводные!AH5</f>
        <v>25</v>
      </c>
      <c r="AI5">
        <f>Вводные!AI5</f>
        <v>26</v>
      </c>
      <c r="AJ5">
        <f>Вводные!AJ5</f>
        <v>27</v>
      </c>
      <c r="AK5">
        <f>Вводные!AK5</f>
        <v>28</v>
      </c>
      <c r="AL5">
        <f>Вводные!AL5</f>
        <v>29</v>
      </c>
      <c r="AM5">
        <f>Вводные!AM5</f>
        <v>30</v>
      </c>
      <c r="AN5">
        <f>Вводные!AN5</f>
        <v>31</v>
      </c>
      <c r="AO5">
        <f>Вводные!AO5</f>
        <v>32</v>
      </c>
      <c r="AP5">
        <f>Вводные!AP5</f>
        <v>33</v>
      </c>
      <c r="AQ5">
        <f>Вводные!AQ5</f>
        <v>34</v>
      </c>
      <c r="AR5">
        <f>Вводные!AR5</f>
        <v>35</v>
      </c>
      <c r="AS5">
        <f>Вводные!AS5</f>
        <v>36</v>
      </c>
      <c r="AT5">
        <f>Вводные!AT5</f>
        <v>37</v>
      </c>
      <c r="AU5">
        <f>Вводные!AU5</f>
        <v>38</v>
      </c>
      <c r="AV5">
        <f>Вводные!AV5</f>
        <v>39</v>
      </c>
      <c r="AW5">
        <f>Вводные!AW5</f>
        <v>40</v>
      </c>
      <c r="AX5">
        <f>Вводные!AX5</f>
        <v>41</v>
      </c>
      <c r="AY5">
        <f>Вводные!AY5</f>
        <v>42</v>
      </c>
      <c r="AZ5">
        <f>Вводные!AZ5</f>
        <v>43</v>
      </c>
      <c r="BA5">
        <f>Вводные!BA5</f>
        <v>44</v>
      </c>
      <c r="BB5">
        <f>Вводные!BB5</f>
        <v>45</v>
      </c>
      <c r="BC5">
        <f>Вводные!BC5</f>
        <v>46</v>
      </c>
      <c r="BD5">
        <f>Вводные!BD5</f>
        <v>47</v>
      </c>
      <c r="BE5">
        <f>Вводные!BE5</f>
        <v>48</v>
      </c>
      <c r="BF5">
        <f>Вводные!BF5</f>
        <v>49</v>
      </c>
      <c r="BG5">
        <f>Вводные!BG5</f>
        <v>50</v>
      </c>
      <c r="BH5">
        <f>Вводные!BH5</f>
        <v>51</v>
      </c>
      <c r="BI5">
        <f>Вводные!BI5</f>
        <v>52</v>
      </c>
      <c r="BJ5">
        <f>Вводные!BJ5</f>
        <v>53</v>
      </c>
    </row>
    <row r="6" spans="2:62" x14ac:dyDescent="0.15">
      <c r="E6" s="12"/>
    </row>
    <row r="7" spans="2:62" x14ac:dyDescent="0.15">
      <c r="E7" s="12"/>
    </row>
    <row r="8" spans="2:62" ht="12" x14ac:dyDescent="0.15">
      <c r="B8" s="1">
        <f>MAX( $B5:B$7 ) + 1</f>
        <v>1</v>
      </c>
      <c r="C8" s="1"/>
      <c r="D8" s="1" t="s">
        <v>25</v>
      </c>
      <c r="E8" s="1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</row>
    <row r="9" spans="2:62" x14ac:dyDescent="0.15">
      <c r="E9" s="12"/>
    </row>
    <row r="10" spans="2:62" x14ac:dyDescent="0.15">
      <c r="C10" s="2">
        <f>MAX( $B$7:C9 ) + 0.1</f>
        <v>1.1000000000000001</v>
      </c>
      <c r="D10" s="2" t="s">
        <v>39</v>
      </c>
      <c r="E10" s="1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</row>
    <row r="11" spans="2:62" x14ac:dyDescent="0.15">
      <c r="E11" s="12"/>
    </row>
    <row r="12" spans="2:62" x14ac:dyDescent="0.15">
      <c r="D12" s="8" t="s">
        <v>14</v>
      </c>
      <c r="E12" s="12"/>
    </row>
    <row r="13" spans="2:62" x14ac:dyDescent="0.15">
      <c r="C13" t="s">
        <v>35</v>
      </c>
      <c r="D13" s="11" t="str">
        <f>Вводные!$D$70</f>
        <v>Еда</v>
      </c>
      <c r="E13" s="12" t="s">
        <v>37</v>
      </c>
      <c r="J13" s="3">
        <f>IF( AND(J$3 &gt;= Вводные!$F142, J$3 &lt;= Вводные!$G142), 1, 0)</f>
        <v>1</v>
      </c>
      <c r="K13" s="3">
        <f>IF( AND(K$3 &gt;= Вводные!$F142, K$3 &lt;= Вводные!$G142), 1, 0)</f>
        <v>1</v>
      </c>
      <c r="L13" s="3">
        <f>IF( AND(L$3 &gt;= Вводные!$F142, L$3 &lt;= Вводные!$G142), 1, 0)</f>
        <v>1</v>
      </c>
      <c r="M13" s="3">
        <f>IF( AND(M$3 &gt;= Вводные!$F142, M$3 &lt;= Вводные!$G142), 1, 0)</f>
        <v>1</v>
      </c>
      <c r="N13" s="3">
        <f>IF( AND(N$3 &gt;= Вводные!$F142, N$3 &lt;= Вводные!$G142), 1, 0)</f>
        <v>1</v>
      </c>
      <c r="O13" s="3">
        <f>IF( AND(O$3 &gt;= Вводные!$F142, O$3 &lt;= Вводные!$G142), 1, 0)</f>
        <v>1</v>
      </c>
      <c r="P13" s="3">
        <f>IF( AND(P$3 &gt;= Вводные!$F142, P$3 &lt;= Вводные!$G142), 1, 0)</f>
        <v>1</v>
      </c>
      <c r="Q13" s="3">
        <f>IF( AND(Q$3 &gt;= Вводные!$F142, Q$3 &lt;= Вводные!$G142), 1, 0)</f>
        <v>1</v>
      </c>
      <c r="R13" s="3">
        <f>IF( AND(R$3 &gt;= Вводные!$F142, R$3 &lt;= Вводные!$G142), 1, 0)</f>
        <v>1</v>
      </c>
      <c r="S13" s="3">
        <f>IF( AND(S$3 &gt;= Вводные!$F142, S$3 &lt;= Вводные!$G142), 1, 0)</f>
        <v>1</v>
      </c>
      <c r="T13" s="3">
        <f>IF( AND(T$3 &gt;= Вводные!$F142, T$3 &lt;= Вводные!$G142), 1, 0)</f>
        <v>1</v>
      </c>
      <c r="U13" s="3">
        <f>IF( AND(U$3 &gt;= Вводные!$F142, U$3 &lt;= Вводные!$G142), 1, 0)</f>
        <v>1</v>
      </c>
      <c r="V13" s="3">
        <f>IF( AND(V$3 &gt;= Вводные!$F142, V$3 &lt;= Вводные!$G142), 1, 0)</f>
        <v>1</v>
      </c>
      <c r="W13" s="3">
        <f>IF( AND(W$3 &gt;= Вводные!$F142, W$3 &lt;= Вводные!$G142), 1, 0)</f>
        <v>1</v>
      </c>
      <c r="X13" s="3">
        <f>IF( AND(X$3 &gt;= Вводные!$F142, X$3 &lt;= Вводные!$G142), 1, 0)</f>
        <v>1</v>
      </c>
      <c r="Y13" s="3">
        <f>IF( AND(Y$3 &gt;= Вводные!$F142, Y$3 &lt;= Вводные!$G142), 1, 0)</f>
        <v>1</v>
      </c>
      <c r="Z13" s="3">
        <f>IF( AND(Z$3 &gt;= Вводные!$F142, Z$3 &lt;= Вводные!$G142), 1, 0)</f>
        <v>1</v>
      </c>
      <c r="AA13" s="3">
        <f>IF( AND(AA$3 &gt;= Вводные!$F142, AA$3 &lt;= Вводные!$G142), 1, 0)</f>
        <v>1</v>
      </c>
      <c r="AB13" s="3">
        <f>IF( AND(AB$3 &gt;= Вводные!$F142, AB$3 &lt;= Вводные!$G142), 1, 0)</f>
        <v>1</v>
      </c>
      <c r="AC13" s="3">
        <f>IF( AND(AC$3 &gt;= Вводные!$F142, AC$3 &lt;= Вводные!$G142), 1, 0)</f>
        <v>1</v>
      </c>
      <c r="AD13" s="3">
        <f>IF( AND(AD$3 &gt;= Вводные!$F142, AD$3 &lt;= Вводные!$G142), 1, 0)</f>
        <v>1</v>
      </c>
      <c r="AE13" s="3">
        <f>IF( AND(AE$3 &gt;= Вводные!$F142, AE$3 &lt;= Вводные!$G142), 1, 0)</f>
        <v>1</v>
      </c>
      <c r="AF13" s="3">
        <f>IF( AND(AF$3 &gt;= Вводные!$F142, AF$3 &lt;= Вводные!$G142), 1, 0)</f>
        <v>1</v>
      </c>
      <c r="AG13" s="3">
        <f>IF( AND(AG$3 &gt;= Вводные!$F142, AG$3 &lt;= Вводные!$G142), 1, 0)</f>
        <v>1</v>
      </c>
      <c r="AH13" s="3">
        <f>IF( AND(AH$3 &gt;= Вводные!$F142, AH$3 &lt;= Вводные!$G142), 1, 0)</f>
        <v>1</v>
      </c>
      <c r="AI13" s="3">
        <f>IF( AND(AI$3 &gt;= Вводные!$F142, AI$3 &lt;= Вводные!$G142), 1, 0)</f>
        <v>1</v>
      </c>
      <c r="AJ13" s="3">
        <f>IF( AND(AJ$3 &gt;= Вводные!$F142, AJ$3 &lt;= Вводные!$G142), 1, 0)</f>
        <v>1</v>
      </c>
      <c r="AK13" s="3">
        <f>IF( AND(AK$3 &gt;= Вводные!$F142, AK$3 &lt;= Вводные!$G142), 1, 0)</f>
        <v>1</v>
      </c>
      <c r="AL13" s="3">
        <f>IF( AND(AL$3 &gt;= Вводные!$F142, AL$3 &lt;= Вводные!$G142), 1, 0)</f>
        <v>1</v>
      </c>
      <c r="AM13" s="3">
        <f>IF( AND(AM$3 &gt;= Вводные!$F142, AM$3 &lt;= Вводные!$G142), 1, 0)</f>
        <v>1</v>
      </c>
      <c r="AN13" s="3">
        <f>IF( AND(AN$3 &gt;= Вводные!$F142, AN$3 &lt;= Вводные!$G142), 1, 0)</f>
        <v>1</v>
      </c>
      <c r="AO13" s="3">
        <f>IF( AND(AO$3 &gt;= Вводные!$F142, AO$3 &lt;= Вводные!$G142), 1, 0)</f>
        <v>1</v>
      </c>
      <c r="AP13" s="3">
        <f>IF( AND(AP$3 &gt;= Вводные!$F142, AP$3 &lt;= Вводные!$G142), 1, 0)</f>
        <v>1</v>
      </c>
      <c r="AQ13" s="3">
        <f>IF( AND(AQ$3 &gt;= Вводные!$F142, AQ$3 &lt;= Вводные!$G142), 1, 0)</f>
        <v>1</v>
      </c>
      <c r="AR13" s="3">
        <f>IF( AND(AR$3 &gt;= Вводные!$F142, AR$3 &lt;= Вводные!$G142), 1, 0)</f>
        <v>1</v>
      </c>
      <c r="AS13" s="3">
        <f>IF( AND(AS$3 &gt;= Вводные!$F142, AS$3 &lt;= Вводные!$G142), 1, 0)</f>
        <v>1</v>
      </c>
      <c r="AT13" s="3">
        <f>IF( AND(AT$3 &gt;= Вводные!$F142, AT$3 &lt;= Вводные!$G142), 1, 0)</f>
        <v>1</v>
      </c>
      <c r="AU13" s="3">
        <f>IF( AND(AU$3 &gt;= Вводные!$F142, AU$3 &lt;= Вводные!$G142), 1, 0)</f>
        <v>1</v>
      </c>
      <c r="AV13" s="3">
        <f>IF( AND(AV$3 &gt;= Вводные!$F142, AV$3 &lt;= Вводные!$G142), 1, 0)</f>
        <v>1</v>
      </c>
      <c r="AW13" s="3">
        <f>IF( AND(AW$3 &gt;= Вводные!$F142, AW$3 &lt;= Вводные!$G142), 1, 0)</f>
        <v>1</v>
      </c>
      <c r="AX13" s="3">
        <f>IF( AND(AX$3 &gt;= Вводные!$F142, AX$3 &lt;= Вводные!$G142), 1, 0)</f>
        <v>1</v>
      </c>
      <c r="AY13" s="3">
        <f>IF( AND(AY$3 &gt;= Вводные!$F142, AY$3 &lt;= Вводные!$G142), 1, 0)</f>
        <v>1</v>
      </c>
      <c r="AZ13" s="3">
        <f>IF( AND(AZ$3 &gt;= Вводные!$F142, AZ$3 &lt;= Вводные!$G142), 1, 0)</f>
        <v>1</v>
      </c>
      <c r="BA13" s="3">
        <f>IF( AND(BA$3 &gt;= Вводные!$F142, BA$3 &lt;= Вводные!$G142), 1, 0)</f>
        <v>1</v>
      </c>
      <c r="BB13" s="3">
        <f>IF( AND(BB$3 &gt;= Вводные!$F142, BB$3 &lt;= Вводные!$G142), 1, 0)</f>
        <v>1</v>
      </c>
      <c r="BC13" s="3">
        <f>IF( AND(BC$3 &gt;= Вводные!$F142, BC$3 &lt;= Вводные!$G142), 1, 0)</f>
        <v>1</v>
      </c>
      <c r="BD13" s="3">
        <f>IF( AND(BD$3 &gt;= Вводные!$F142, BD$3 &lt;= Вводные!$G142), 1, 0)</f>
        <v>1</v>
      </c>
      <c r="BE13" s="3">
        <f>IF( AND(BE$3 &gt;= Вводные!$F142, BE$3 &lt;= Вводные!$G142), 1, 0)</f>
        <v>1</v>
      </c>
      <c r="BF13" s="3">
        <f>IF( AND(BF$3 &gt;= Вводные!$F142, BF$3 &lt;= Вводные!$G142), 1, 0)</f>
        <v>1</v>
      </c>
      <c r="BG13" s="3">
        <f>IF( AND(BG$3 &gt;= Вводные!$F142, BG$3 &lt;= Вводные!$G142), 1, 0)</f>
        <v>1</v>
      </c>
      <c r="BH13" s="3">
        <f>IF( AND(BH$3 &gt;= Вводные!$F142, BH$3 &lt;= Вводные!$G142), 1, 0)</f>
        <v>1</v>
      </c>
      <c r="BI13" s="3">
        <f>IF( AND(BI$3 &gt;= Вводные!$F142, BI$3 &lt;= Вводные!$G142), 1, 0)</f>
        <v>1</v>
      </c>
      <c r="BJ13" s="3">
        <f>IF( AND(BJ$3 &gt;= Вводные!$F142, BJ$3 &lt;= Вводные!$G142), 1, 0)</f>
        <v>1</v>
      </c>
    </row>
    <row r="14" spans="2:62" x14ac:dyDescent="0.15">
      <c r="C14" t="s">
        <v>35</v>
      </c>
      <c r="D14" s="11" t="str">
        <f>Вводные!$D$71</f>
        <v>Садик</v>
      </c>
      <c r="E14" s="12" t="s">
        <v>37</v>
      </c>
      <c r="J14" s="3">
        <f>IF( AND(J$3 &gt;= Вводные!$F143, J$3 &lt;= Вводные!$G143), 1, 0)</f>
        <v>1</v>
      </c>
      <c r="K14" s="3">
        <f>IF( AND(K$3 &gt;= Вводные!$F143, K$3 &lt;= Вводные!$G143), 1, 0)</f>
        <v>1</v>
      </c>
      <c r="L14" s="3">
        <f>IF( AND(L$3 &gt;= Вводные!$F143, L$3 &lt;= Вводные!$G143), 1, 0)</f>
        <v>1</v>
      </c>
      <c r="M14" s="3">
        <f>IF( AND(M$3 &gt;= Вводные!$F143, M$3 &lt;= Вводные!$G143), 1, 0)</f>
        <v>1</v>
      </c>
      <c r="N14" s="3">
        <f>IF( AND(N$3 &gt;= Вводные!$F143, N$3 &lt;= Вводные!$G143), 1, 0)</f>
        <v>1</v>
      </c>
      <c r="O14" s="3">
        <f>IF( AND(O$3 &gt;= Вводные!$F143, O$3 &lt;= Вводные!$G143), 1, 0)</f>
        <v>1</v>
      </c>
      <c r="P14" s="3">
        <f>IF( AND(P$3 &gt;= Вводные!$F143, P$3 &lt;= Вводные!$G143), 1, 0)</f>
        <v>1</v>
      </c>
      <c r="Q14" s="3">
        <f>IF( AND(Q$3 &gt;= Вводные!$F143, Q$3 &lt;= Вводные!$G143), 1, 0)</f>
        <v>1</v>
      </c>
      <c r="R14" s="3">
        <f>IF( AND(R$3 &gt;= Вводные!$F143, R$3 &lt;= Вводные!$G143), 1, 0)</f>
        <v>1</v>
      </c>
      <c r="S14" s="3">
        <f>IF( AND(S$3 &gt;= Вводные!$F143, S$3 &lt;= Вводные!$G143), 1, 0)</f>
        <v>1</v>
      </c>
      <c r="T14" s="3">
        <f>IF( AND(T$3 &gt;= Вводные!$F143, T$3 &lt;= Вводные!$G143), 1, 0)</f>
        <v>1</v>
      </c>
      <c r="U14" s="3">
        <f>IF( AND(U$3 &gt;= Вводные!$F143, U$3 &lt;= Вводные!$G143), 1, 0)</f>
        <v>1</v>
      </c>
      <c r="V14" s="3">
        <f>IF( AND(V$3 &gt;= Вводные!$F143, V$3 &lt;= Вводные!$G143), 1, 0)</f>
        <v>1</v>
      </c>
      <c r="W14" s="3">
        <f>IF( AND(W$3 &gt;= Вводные!$F143, W$3 &lt;= Вводные!$G143), 1, 0)</f>
        <v>1</v>
      </c>
      <c r="X14" s="3">
        <f>IF( AND(X$3 &gt;= Вводные!$F143, X$3 &lt;= Вводные!$G143), 1, 0)</f>
        <v>1</v>
      </c>
      <c r="Y14" s="3">
        <f>IF( AND(Y$3 &gt;= Вводные!$F143, Y$3 &lt;= Вводные!$G143), 1, 0)</f>
        <v>1</v>
      </c>
      <c r="Z14" s="3">
        <f>IF( AND(Z$3 &gt;= Вводные!$F143, Z$3 &lt;= Вводные!$G143), 1, 0)</f>
        <v>1</v>
      </c>
      <c r="AA14" s="3">
        <f>IF( AND(AA$3 &gt;= Вводные!$F143, AA$3 &lt;= Вводные!$G143), 1, 0)</f>
        <v>1</v>
      </c>
      <c r="AB14" s="3">
        <f>IF( AND(AB$3 &gt;= Вводные!$F143, AB$3 &lt;= Вводные!$G143), 1, 0)</f>
        <v>1</v>
      </c>
      <c r="AC14" s="3">
        <f>IF( AND(AC$3 &gt;= Вводные!$F143, AC$3 &lt;= Вводные!$G143), 1, 0)</f>
        <v>1</v>
      </c>
      <c r="AD14" s="3">
        <f>IF( AND(AD$3 &gt;= Вводные!$F143, AD$3 &lt;= Вводные!$G143), 1, 0)</f>
        <v>1</v>
      </c>
      <c r="AE14" s="3">
        <f>IF( AND(AE$3 &gt;= Вводные!$F143, AE$3 &lt;= Вводные!$G143), 1, 0)</f>
        <v>1</v>
      </c>
      <c r="AF14" s="3">
        <f>IF( AND(AF$3 &gt;= Вводные!$F143, AF$3 &lt;= Вводные!$G143), 1, 0)</f>
        <v>1</v>
      </c>
      <c r="AG14" s="3">
        <f>IF( AND(AG$3 &gt;= Вводные!$F143, AG$3 &lt;= Вводные!$G143), 1, 0)</f>
        <v>1</v>
      </c>
      <c r="AH14" s="3">
        <f>IF( AND(AH$3 &gt;= Вводные!$F143, AH$3 &lt;= Вводные!$G143), 1, 0)</f>
        <v>1</v>
      </c>
      <c r="AI14" s="3">
        <f>IF( AND(AI$3 &gt;= Вводные!$F143, AI$3 &lt;= Вводные!$G143), 1, 0)</f>
        <v>1</v>
      </c>
      <c r="AJ14" s="3">
        <f>IF( AND(AJ$3 &gt;= Вводные!$F143, AJ$3 &lt;= Вводные!$G143), 1, 0)</f>
        <v>1</v>
      </c>
      <c r="AK14" s="3">
        <f>IF( AND(AK$3 &gt;= Вводные!$F143, AK$3 &lt;= Вводные!$G143), 1, 0)</f>
        <v>1</v>
      </c>
      <c r="AL14" s="3">
        <f>IF( AND(AL$3 &gt;= Вводные!$F143, AL$3 &lt;= Вводные!$G143), 1, 0)</f>
        <v>1</v>
      </c>
      <c r="AM14" s="3">
        <f>IF( AND(AM$3 &gt;= Вводные!$F143, AM$3 &lt;= Вводные!$G143), 1, 0)</f>
        <v>1</v>
      </c>
      <c r="AN14" s="3">
        <f>IF( AND(AN$3 &gt;= Вводные!$F143, AN$3 &lt;= Вводные!$G143), 1, 0)</f>
        <v>1</v>
      </c>
      <c r="AO14" s="3">
        <f>IF( AND(AO$3 &gt;= Вводные!$F143, AO$3 &lt;= Вводные!$G143), 1, 0)</f>
        <v>1</v>
      </c>
      <c r="AP14" s="3">
        <f>IF( AND(AP$3 &gt;= Вводные!$F143, AP$3 &lt;= Вводные!$G143), 1, 0)</f>
        <v>1</v>
      </c>
      <c r="AQ14" s="3">
        <f>IF( AND(AQ$3 &gt;= Вводные!$F143, AQ$3 &lt;= Вводные!$G143), 1, 0)</f>
        <v>1</v>
      </c>
      <c r="AR14" s="3">
        <f>IF( AND(AR$3 &gt;= Вводные!$F143, AR$3 &lt;= Вводные!$G143), 1, 0)</f>
        <v>1</v>
      </c>
      <c r="AS14" s="3">
        <f>IF( AND(AS$3 &gt;= Вводные!$F143, AS$3 &lt;= Вводные!$G143), 1, 0)</f>
        <v>1</v>
      </c>
      <c r="AT14" s="3">
        <f>IF( AND(AT$3 &gt;= Вводные!$F143, AT$3 &lt;= Вводные!$G143), 1, 0)</f>
        <v>1</v>
      </c>
      <c r="AU14" s="3">
        <f>IF( AND(AU$3 &gt;= Вводные!$F143, AU$3 &lt;= Вводные!$G143), 1, 0)</f>
        <v>1</v>
      </c>
      <c r="AV14" s="3">
        <f>IF( AND(AV$3 &gt;= Вводные!$F143, AV$3 &lt;= Вводные!$G143), 1, 0)</f>
        <v>1</v>
      </c>
      <c r="AW14" s="3">
        <f>IF( AND(AW$3 &gt;= Вводные!$F143, AW$3 &lt;= Вводные!$G143), 1, 0)</f>
        <v>1</v>
      </c>
      <c r="AX14" s="3">
        <f>IF( AND(AX$3 &gt;= Вводные!$F143, AX$3 &lt;= Вводные!$G143), 1, 0)</f>
        <v>1</v>
      </c>
      <c r="AY14" s="3">
        <f>IF( AND(AY$3 &gt;= Вводные!$F143, AY$3 &lt;= Вводные!$G143), 1, 0)</f>
        <v>1</v>
      </c>
      <c r="AZ14" s="3">
        <f>IF( AND(AZ$3 &gt;= Вводные!$F143, AZ$3 &lt;= Вводные!$G143), 1, 0)</f>
        <v>1</v>
      </c>
      <c r="BA14" s="3">
        <f>IF( AND(BA$3 &gt;= Вводные!$F143, BA$3 &lt;= Вводные!$G143), 1, 0)</f>
        <v>1</v>
      </c>
      <c r="BB14" s="3">
        <f>IF( AND(BB$3 &gt;= Вводные!$F143, BB$3 &lt;= Вводные!$G143), 1, 0)</f>
        <v>1</v>
      </c>
      <c r="BC14" s="3">
        <f>IF( AND(BC$3 &gt;= Вводные!$F143, BC$3 &lt;= Вводные!$G143), 1, 0)</f>
        <v>1</v>
      </c>
      <c r="BD14" s="3">
        <f>IF( AND(BD$3 &gt;= Вводные!$F143, BD$3 &lt;= Вводные!$G143), 1, 0)</f>
        <v>1</v>
      </c>
      <c r="BE14" s="3">
        <f>IF( AND(BE$3 &gt;= Вводные!$F143, BE$3 &lt;= Вводные!$G143), 1, 0)</f>
        <v>1</v>
      </c>
      <c r="BF14" s="3">
        <f>IF( AND(BF$3 &gt;= Вводные!$F143, BF$3 &lt;= Вводные!$G143), 1, 0)</f>
        <v>1</v>
      </c>
      <c r="BG14" s="3">
        <f>IF( AND(BG$3 &gt;= Вводные!$F143, BG$3 &lt;= Вводные!$G143), 1, 0)</f>
        <v>1</v>
      </c>
      <c r="BH14" s="3">
        <f>IF( AND(BH$3 &gt;= Вводные!$F143, BH$3 &lt;= Вводные!$G143), 1, 0)</f>
        <v>1</v>
      </c>
      <c r="BI14" s="3">
        <f>IF( AND(BI$3 &gt;= Вводные!$F143, BI$3 &lt;= Вводные!$G143), 1, 0)</f>
        <v>1</v>
      </c>
      <c r="BJ14" s="3">
        <f>IF( AND(BJ$3 &gt;= Вводные!$F143, BJ$3 &lt;= Вводные!$G143), 1, 0)</f>
        <v>1</v>
      </c>
    </row>
    <row r="15" spans="2:62" x14ac:dyDescent="0.15">
      <c r="D15" s="11" t="str">
        <f>Вводные!$D$72</f>
        <v>Няня</v>
      </c>
      <c r="E15" s="12" t="s">
        <v>37</v>
      </c>
      <c r="J15" s="3">
        <f>IF( AND(J$3 &gt;= Вводные!$F144, J$3 &lt;= Вводные!$G144), 1, 0)</f>
        <v>1</v>
      </c>
      <c r="K15" s="3">
        <f>IF( AND(K$3 &gt;= Вводные!$F144, K$3 &lt;= Вводные!$G144), 1, 0)</f>
        <v>1</v>
      </c>
      <c r="L15" s="3">
        <f>IF( AND(L$3 &gt;= Вводные!$F144, L$3 &lt;= Вводные!$G144), 1, 0)</f>
        <v>1</v>
      </c>
      <c r="M15" s="3">
        <f>IF( AND(M$3 &gt;= Вводные!$F144, M$3 &lt;= Вводные!$G144), 1, 0)</f>
        <v>1</v>
      </c>
      <c r="N15" s="3">
        <f>IF( AND(N$3 &gt;= Вводные!$F144, N$3 &lt;= Вводные!$G144), 1, 0)</f>
        <v>1</v>
      </c>
      <c r="O15" s="3">
        <f>IF( AND(O$3 &gt;= Вводные!$F144, O$3 &lt;= Вводные!$G144), 1, 0)</f>
        <v>1</v>
      </c>
      <c r="P15" s="3">
        <f>IF( AND(P$3 &gt;= Вводные!$F144, P$3 &lt;= Вводные!$G144), 1, 0)</f>
        <v>1</v>
      </c>
      <c r="Q15" s="3">
        <f>IF( AND(Q$3 &gt;= Вводные!$F144, Q$3 &lt;= Вводные!$G144), 1, 0)</f>
        <v>1</v>
      </c>
      <c r="R15" s="3">
        <f>IF( AND(R$3 &gt;= Вводные!$F144, R$3 &lt;= Вводные!$G144), 1, 0)</f>
        <v>1</v>
      </c>
      <c r="S15" s="3">
        <f>IF( AND(S$3 &gt;= Вводные!$F144, S$3 &lt;= Вводные!$G144), 1, 0)</f>
        <v>1</v>
      </c>
      <c r="T15" s="3">
        <f>IF( AND(T$3 &gt;= Вводные!$F144, T$3 &lt;= Вводные!$G144), 1, 0)</f>
        <v>1</v>
      </c>
      <c r="U15" s="3">
        <f>IF( AND(U$3 &gt;= Вводные!$F144, U$3 &lt;= Вводные!$G144), 1, 0)</f>
        <v>1</v>
      </c>
      <c r="V15" s="3">
        <f>IF( AND(V$3 &gt;= Вводные!$F144, V$3 &lt;= Вводные!$G144), 1, 0)</f>
        <v>1</v>
      </c>
      <c r="W15" s="3">
        <f>IF( AND(W$3 &gt;= Вводные!$F144, W$3 &lt;= Вводные!$G144), 1, 0)</f>
        <v>1</v>
      </c>
      <c r="X15" s="3">
        <f>IF( AND(X$3 &gt;= Вводные!$F144, X$3 &lt;= Вводные!$G144), 1, 0)</f>
        <v>1</v>
      </c>
      <c r="Y15" s="3">
        <f>IF( AND(Y$3 &gt;= Вводные!$F144, Y$3 &lt;= Вводные!$G144), 1, 0)</f>
        <v>1</v>
      </c>
      <c r="Z15" s="3">
        <f>IF( AND(Z$3 &gt;= Вводные!$F144, Z$3 &lt;= Вводные!$G144), 1, 0)</f>
        <v>1</v>
      </c>
      <c r="AA15" s="3">
        <f>IF( AND(AA$3 &gt;= Вводные!$F144, AA$3 &lt;= Вводные!$G144), 1, 0)</f>
        <v>1</v>
      </c>
      <c r="AB15" s="3">
        <f>IF( AND(AB$3 &gt;= Вводные!$F144, AB$3 &lt;= Вводные!$G144), 1, 0)</f>
        <v>1</v>
      </c>
      <c r="AC15" s="3">
        <f>IF( AND(AC$3 &gt;= Вводные!$F144, AC$3 &lt;= Вводные!$G144), 1, 0)</f>
        <v>1</v>
      </c>
      <c r="AD15" s="3">
        <f>IF( AND(AD$3 &gt;= Вводные!$F144, AD$3 &lt;= Вводные!$G144), 1, 0)</f>
        <v>1</v>
      </c>
      <c r="AE15" s="3">
        <f>IF( AND(AE$3 &gt;= Вводные!$F144, AE$3 &lt;= Вводные!$G144), 1, 0)</f>
        <v>1</v>
      </c>
      <c r="AF15" s="3">
        <f>IF( AND(AF$3 &gt;= Вводные!$F144, AF$3 &lt;= Вводные!$G144), 1, 0)</f>
        <v>1</v>
      </c>
      <c r="AG15" s="3">
        <f>IF( AND(AG$3 &gt;= Вводные!$F144, AG$3 &lt;= Вводные!$G144), 1, 0)</f>
        <v>1</v>
      </c>
      <c r="AH15" s="3">
        <f>IF( AND(AH$3 &gt;= Вводные!$F144, AH$3 &lt;= Вводные!$G144), 1, 0)</f>
        <v>1</v>
      </c>
      <c r="AI15" s="3">
        <f>IF( AND(AI$3 &gt;= Вводные!$F144, AI$3 &lt;= Вводные!$G144), 1, 0)</f>
        <v>1</v>
      </c>
      <c r="AJ15" s="3">
        <f>IF( AND(AJ$3 &gt;= Вводные!$F144, AJ$3 &lt;= Вводные!$G144), 1, 0)</f>
        <v>1</v>
      </c>
      <c r="AK15" s="3">
        <f>IF( AND(AK$3 &gt;= Вводные!$F144, AK$3 &lt;= Вводные!$G144), 1, 0)</f>
        <v>1</v>
      </c>
      <c r="AL15" s="3">
        <f>IF( AND(AL$3 &gt;= Вводные!$F144, AL$3 &lt;= Вводные!$G144), 1, 0)</f>
        <v>1</v>
      </c>
      <c r="AM15" s="3">
        <f>IF( AND(AM$3 &gt;= Вводные!$F144, AM$3 &lt;= Вводные!$G144), 1, 0)</f>
        <v>1</v>
      </c>
      <c r="AN15" s="3">
        <f>IF( AND(AN$3 &gt;= Вводные!$F144, AN$3 &lt;= Вводные!$G144), 1, 0)</f>
        <v>1</v>
      </c>
      <c r="AO15" s="3">
        <f>IF( AND(AO$3 &gt;= Вводные!$F144, AO$3 &lt;= Вводные!$G144), 1, 0)</f>
        <v>1</v>
      </c>
      <c r="AP15" s="3">
        <f>IF( AND(AP$3 &gt;= Вводные!$F144, AP$3 &lt;= Вводные!$G144), 1, 0)</f>
        <v>1</v>
      </c>
      <c r="AQ15" s="3">
        <f>IF( AND(AQ$3 &gt;= Вводные!$F144, AQ$3 &lt;= Вводные!$G144), 1, 0)</f>
        <v>1</v>
      </c>
      <c r="AR15" s="3">
        <f>IF( AND(AR$3 &gt;= Вводные!$F144, AR$3 &lt;= Вводные!$G144), 1, 0)</f>
        <v>1</v>
      </c>
      <c r="AS15" s="3">
        <f>IF( AND(AS$3 &gt;= Вводные!$F144, AS$3 &lt;= Вводные!$G144), 1, 0)</f>
        <v>1</v>
      </c>
      <c r="AT15" s="3">
        <f>IF( AND(AT$3 &gt;= Вводные!$F144, AT$3 &lt;= Вводные!$G144), 1, 0)</f>
        <v>1</v>
      </c>
      <c r="AU15" s="3">
        <f>IF( AND(AU$3 &gt;= Вводные!$F144, AU$3 &lt;= Вводные!$G144), 1, 0)</f>
        <v>1</v>
      </c>
      <c r="AV15" s="3">
        <f>IF( AND(AV$3 &gt;= Вводные!$F144, AV$3 &lt;= Вводные!$G144), 1, 0)</f>
        <v>1</v>
      </c>
      <c r="AW15" s="3">
        <f>IF( AND(AW$3 &gt;= Вводные!$F144, AW$3 &lt;= Вводные!$G144), 1, 0)</f>
        <v>1</v>
      </c>
      <c r="AX15" s="3">
        <f>IF( AND(AX$3 &gt;= Вводные!$F144, AX$3 &lt;= Вводные!$G144), 1, 0)</f>
        <v>1</v>
      </c>
      <c r="AY15" s="3">
        <f>IF( AND(AY$3 &gt;= Вводные!$F144, AY$3 &lt;= Вводные!$G144), 1, 0)</f>
        <v>1</v>
      </c>
      <c r="AZ15" s="3">
        <f>IF( AND(AZ$3 &gt;= Вводные!$F144, AZ$3 &lt;= Вводные!$G144), 1, 0)</f>
        <v>1</v>
      </c>
      <c r="BA15" s="3">
        <f>IF( AND(BA$3 &gt;= Вводные!$F144, BA$3 &lt;= Вводные!$G144), 1, 0)</f>
        <v>1</v>
      </c>
      <c r="BB15" s="3">
        <f>IF( AND(BB$3 &gt;= Вводные!$F144, BB$3 &lt;= Вводные!$G144), 1, 0)</f>
        <v>1</v>
      </c>
      <c r="BC15" s="3">
        <f>IF( AND(BC$3 &gt;= Вводные!$F144, BC$3 &lt;= Вводные!$G144), 1, 0)</f>
        <v>1</v>
      </c>
      <c r="BD15" s="3">
        <f>IF( AND(BD$3 &gt;= Вводные!$F144, BD$3 &lt;= Вводные!$G144), 1, 0)</f>
        <v>1</v>
      </c>
      <c r="BE15" s="3">
        <f>IF( AND(BE$3 &gt;= Вводные!$F144, BE$3 &lt;= Вводные!$G144), 1, 0)</f>
        <v>1</v>
      </c>
      <c r="BF15" s="3">
        <f>IF( AND(BF$3 &gt;= Вводные!$F144, BF$3 &lt;= Вводные!$G144), 1, 0)</f>
        <v>1</v>
      </c>
      <c r="BG15" s="3">
        <f>IF( AND(BG$3 &gt;= Вводные!$F144, BG$3 &lt;= Вводные!$G144), 1, 0)</f>
        <v>1</v>
      </c>
      <c r="BH15" s="3">
        <f>IF( AND(BH$3 &gt;= Вводные!$F144, BH$3 &lt;= Вводные!$G144), 1, 0)</f>
        <v>1</v>
      </c>
      <c r="BI15" s="3">
        <f>IF( AND(BI$3 &gt;= Вводные!$F144, BI$3 &lt;= Вводные!$G144), 1, 0)</f>
        <v>1</v>
      </c>
      <c r="BJ15" s="3">
        <f>IF( AND(BJ$3 &gt;= Вводные!$F144, BJ$3 &lt;= Вводные!$G144), 1, 0)</f>
        <v>1</v>
      </c>
    </row>
    <row r="16" spans="2:62" x14ac:dyDescent="0.15">
      <c r="D16" s="11" t="str">
        <f>Вводные!$D$73</f>
        <v>Ипотека</v>
      </c>
      <c r="E16" s="12" t="s">
        <v>37</v>
      </c>
      <c r="J16" s="3">
        <f>IF( AND(J$3 &gt;= Вводные!$F145, J$3 &lt;= Вводные!$G145), 1, 0)</f>
        <v>1</v>
      </c>
      <c r="K16" s="3">
        <f>IF( AND(K$3 &gt;= Вводные!$F145, K$3 &lt;= Вводные!$G145), 1, 0)</f>
        <v>1</v>
      </c>
      <c r="L16" s="3">
        <f>IF( AND(L$3 &gt;= Вводные!$F145, L$3 &lt;= Вводные!$G145), 1, 0)</f>
        <v>1</v>
      </c>
      <c r="M16" s="3">
        <f>IF( AND(M$3 &gt;= Вводные!$F145, M$3 &lt;= Вводные!$G145), 1, 0)</f>
        <v>1</v>
      </c>
      <c r="N16" s="3">
        <f>IF( AND(N$3 &gt;= Вводные!$F145, N$3 &lt;= Вводные!$G145), 1, 0)</f>
        <v>1</v>
      </c>
      <c r="O16" s="3">
        <f>IF( AND(O$3 &gt;= Вводные!$F145, O$3 &lt;= Вводные!$G145), 1, 0)</f>
        <v>1</v>
      </c>
      <c r="P16" s="3">
        <f>IF( AND(P$3 &gt;= Вводные!$F145, P$3 &lt;= Вводные!$G145), 1, 0)</f>
        <v>1</v>
      </c>
      <c r="Q16" s="3">
        <f>IF( AND(Q$3 &gt;= Вводные!$F145, Q$3 &lt;= Вводные!$G145), 1, 0)</f>
        <v>1</v>
      </c>
      <c r="R16" s="3">
        <f>IF( AND(R$3 &gt;= Вводные!$F145, R$3 &lt;= Вводные!$G145), 1, 0)</f>
        <v>1</v>
      </c>
      <c r="S16" s="3">
        <f>IF( AND(S$3 &gt;= Вводные!$F145, S$3 &lt;= Вводные!$G145), 1, 0)</f>
        <v>1</v>
      </c>
      <c r="T16" s="3">
        <f>IF( AND(T$3 &gt;= Вводные!$F145, T$3 &lt;= Вводные!$G145), 1, 0)</f>
        <v>1</v>
      </c>
      <c r="U16" s="3">
        <f>IF( AND(U$3 &gt;= Вводные!$F145, U$3 &lt;= Вводные!$G145), 1, 0)</f>
        <v>1</v>
      </c>
      <c r="V16" s="3">
        <f>IF( AND(V$3 &gt;= Вводные!$F145, V$3 &lt;= Вводные!$G145), 1, 0)</f>
        <v>1</v>
      </c>
      <c r="W16" s="3">
        <f>IF( AND(W$3 &gt;= Вводные!$F145, W$3 &lt;= Вводные!$G145), 1, 0)</f>
        <v>1</v>
      </c>
      <c r="X16" s="3">
        <f>IF( AND(X$3 &gt;= Вводные!$F145, X$3 &lt;= Вводные!$G145), 1, 0)</f>
        <v>1</v>
      </c>
      <c r="Y16" s="3">
        <f>IF( AND(Y$3 &gt;= Вводные!$F145, Y$3 &lt;= Вводные!$G145), 1, 0)</f>
        <v>1</v>
      </c>
      <c r="Z16" s="3">
        <f>IF( AND(Z$3 &gt;= Вводные!$F145, Z$3 &lt;= Вводные!$G145), 1, 0)</f>
        <v>1</v>
      </c>
      <c r="AA16" s="3">
        <f>IF( AND(AA$3 &gt;= Вводные!$F145, AA$3 &lt;= Вводные!$G145), 1, 0)</f>
        <v>1</v>
      </c>
      <c r="AB16" s="3">
        <f>IF( AND(AB$3 &gt;= Вводные!$F145, AB$3 &lt;= Вводные!$G145), 1, 0)</f>
        <v>1</v>
      </c>
      <c r="AC16" s="3">
        <f>IF( AND(AC$3 &gt;= Вводные!$F145, AC$3 &lt;= Вводные!$G145), 1, 0)</f>
        <v>1</v>
      </c>
      <c r="AD16" s="3">
        <f>IF( AND(AD$3 &gt;= Вводные!$F145, AD$3 &lt;= Вводные!$G145), 1, 0)</f>
        <v>1</v>
      </c>
      <c r="AE16" s="3">
        <f>IF( AND(AE$3 &gt;= Вводные!$F145, AE$3 &lt;= Вводные!$G145), 1, 0)</f>
        <v>1</v>
      </c>
      <c r="AF16" s="3">
        <f>IF( AND(AF$3 &gt;= Вводные!$F145, AF$3 &lt;= Вводные!$G145), 1, 0)</f>
        <v>1</v>
      </c>
      <c r="AG16" s="3">
        <f>IF( AND(AG$3 &gt;= Вводные!$F145, AG$3 &lt;= Вводные!$G145), 1, 0)</f>
        <v>1</v>
      </c>
      <c r="AH16" s="3">
        <f>IF( AND(AH$3 &gt;= Вводные!$F145, AH$3 &lt;= Вводные!$G145), 1, 0)</f>
        <v>1</v>
      </c>
      <c r="AI16" s="3">
        <f>IF( AND(AI$3 &gt;= Вводные!$F145, AI$3 &lt;= Вводные!$G145), 1, 0)</f>
        <v>1</v>
      </c>
      <c r="AJ16" s="3">
        <f>IF( AND(AJ$3 &gt;= Вводные!$F145, AJ$3 &lt;= Вводные!$G145), 1, 0)</f>
        <v>1</v>
      </c>
      <c r="AK16" s="3">
        <f>IF( AND(AK$3 &gt;= Вводные!$F145, AK$3 &lt;= Вводные!$G145), 1, 0)</f>
        <v>0</v>
      </c>
      <c r="AL16" s="3">
        <f>IF( AND(AL$3 &gt;= Вводные!$F145, AL$3 &lt;= Вводные!$G145), 1, 0)</f>
        <v>0</v>
      </c>
      <c r="AM16" s="3">
        <f>IF( AND(AM$3 &gt;= Вводные!$F145, AM$3 &lt;= Вводные!$G145), 1, 0)</f>
        <v>0</v>
      </c>
      <c r="AN16" s="3">
        <f>IF( AND(AN$3 &gt;= Вводные!$F145, AN$3 &lt;= Вводные!$G145), 1, 0)</f>
        <v>0</v>
      </c>
      <c r="AO16" s="3">
        <f>IF( AND(AO$3 &gt;= Вводные!$F145, AO$3 &lt;= Вводные!$G145), 1, 0)</f>
        <v>0</v>
      </c>
      <c r="AP16" s="3">
        <f>IF( AND(AP$3 &gt;= Вводные!$F145, AP$3 &lt;= Вводные!$G145), 1, 0)</f>
        <v>0</v>
      </c>
      <c r="AQ16" s="3">
        <f>IF( AND(AQ$3 &gt;= Вводные!$F145, AQ$3 &lt;= Вводные!$G145), 1, 0)</f>
        <v>0</v>
      </c>
      <c r="AR16" s="3">
        <f>IF( AND(AR$3 &gt;= Вводные!$F145, AR$3 &lt;= Вводные!$G145), 1, 0)</f>
        <v>0</v>
      </c>
      <c r="AS16" s="3">
        <f>IF( AND(AS$3 &gt;= Вводные!$F145, AS$3 &lt;= Вводные!$G145), 1, 0)</f>
        <v>0</v>
      </c>
      <c r="AT16" s="3">
        <f>IF( AND(AT$3 &gt;= Вводные!$F145, AT$3 &lt;= Вводные!$G145), 1, 0)</f>
        <v>0</v>
      </c>
      <c r="AU16" s="3">
        <f>IF( AND(AU$3 &gt;= Вводные!$F145, AU$3 &lt;= Вводные!$G145), 1, 0)</f>
        <v>0</v>
      </c>
      <c r="AV16" s="3">
        <f>IF( AND(AV$3 &gt;= Вводные!$F145, AV$3 &lt;= Вводные!$G145), 1, 0)</f>
        <v>0</v>
      </c>
      <c r="AW16" s="3">
        <f>IF( AND(AW$3 &gt;= Вводные!$F145, AW$3 &lt;= Вводные!$G145), 1, 0)</f>
        <v>0</v>
      </c>
      <c r="AX16" s="3">
        <f>IF( AND(AX$3 &gt;= Вводные!$F145, AX$3 &lt;= Вводные!$G145), 1, 0)</f>
        <v>0</v>
      </c>
      <c r="AY16" s="3">
        <f>IF( AND(AY$3 &gt;= Вводные!$F145, AY$3 &lt;= Вводные!$G145), 1, 0)</f>
        <v>0</v>
      </c>
      <c r="AZ16" s="3">
        <f>IF( AND(AZ$3 &gt;= Вводные!$F145, AZ$3 &lt;= Вводные!$G145), 1, 0)</f>
        <v>0</v>
      </c>
      <c r="BA16" s="3">
        <f>IF( AND(BA$3 &gt;= Вводные!$F145, BA$3 &lt;= Вводные!$G145), 1, 0)</f>
        <v>0</v>
      </c>
      <c r="BB16" s="3">
        <f>IF( AND(BB$3 &gt;= Вводные!$F145, BB$3 &lt;= Вводные!$G145), 1, 0)</f>
        <v>0</v>
      </c>
      <c r="BC16" s="3">
        <f>IF( AND(BC$3 &gt;= Вводные!$F145, BC$3 &lt;= Вводные!$G145), 1, 0)</f>
        <v>0</v>
      </c>
      <c r="BD16" s="3">
        <f>IF( AND(BD$3 &gt;= Вводные!$F145, BD$3 &lt;= Вводные!$G145), 1, 0)</f>
        <v>0</v>
      </c>
      <c r="BE16" s="3">
        <f>IF( AND(BE$3 &gt;= Вводные!$F145, BE$3 &lt;= Вводные!$G145), 1, 0)</f>
        <v>0</v>
      </c>
      <c r="BF16" s="3">
        <f>IF( AND(BF$3 &gt;= Вводные!$F145, BF$3 &lt;= Вводные!$G145), 1, 0)</f>
        <v>0</v>
      </c>
      <c r="BG16" s="3">
        <f>IF( AND(BG$3 &gt;= Вводные!$F145, BG$3 &lt;= Вводные!$G145), 1, 0)</f>
        <v>0</v>
      </c>
      <c r="BH16" s="3">
        <f>IF( AND(BH$3 &gt;= Вводные!$F145, BH$3 &lt;= Вводные!$G145), 1, 0)</f>
        <v>0</v>
      </c>
      <c r="BI16" s="3">
        <f>IF( AND(BI$3 &gt;= Вводные!$F145, BI$3 &lt;= Вводные!$G145), 1, 0)</f>
        <v>0</v>
      </c>
      <c r="BJ16" s="3">
        <f>IF( AND(BJ$3 &gt;= Вводные!$F145, BJ$3 &lt;= Вводные!$G145), 1, 0)</f>
        <v>0</v>
      </c>
    </row>
    <row r="17" spans="4:62" x14ac:dyDescent="0.15">
      <c r="D17" s="11" t="str">
        <f>Вводные!$D$74</f>
        <v>Аренда квартиры + коммуналка</v>
      </c>
      <c r="E17" s="12" t="s">
        <v>37</v>
      </c>
      <c r="J17" s="3">
        <f>IF( AND(J$3 &gt;= Вводные!$F146, J$3 &lt;= Вводные!$G146), 1, 0)</f>
        <v>1</v>
      </c>
      <c r="K17" s="3">
        <f>IF( AND(K$3 &gt;= Вводные!$F146, K$3 &lt;= Вводные!$G146), 1, 0)</f>
        <v>1</v>
      </c>
      <c r="L17" s="3">
        <f>IF( AND(L$3 &gt;= Вводные!$F146, L$3 &lt;= Вводные!$G146), 1, 0)</f>
        <v>1</v>
      </c>
      <c r="M17" s="3">
        <f>IF( AND(M$3 &gt;= Вводные!$F146, M$3 &lt;= Вводные!$G146), 1, 0)</f>
        <v>1</v>
      </c>
      <c r="N17" s="3">
        <f>IF( AND(N$3 &gt;= Вводные!$F146, N$3 &lt;= Вводные!$G146), 1, 0)</f>
        <v>1</v>
      </c>
      <c r="O17" s="3">
        <f>IF( AND(O$3 &gt;= Вводные!$F146, O$3 &lt;= Вводные!$G146), 1, 0)</f>
        <v>1</v>
      </c>
      <c r="P17" s="3">
        <f>IF( AND(P$3 &gt;= Вводные!$F146, P$3 &lt;= Вводные!$G146), 1, 0)</f>
        <v>1</v>
      </c>
      <c r="Q17" s="3">
        <f>IF( AND(Q$3 &gt;= Вводные!$F146, Q$3 &lt;= Вводные!$G146), 1, 0)</f>
        <v>1</v>
      </c>
      <c r="R17" s="3">
        <f>IF( AND(R$3 &gt;= Вводные!$F146, R$3 &lt;= Вводные!$G146), 1, 0)</f>
        <v>1</v>
      </c>
      <c r="S17" s="3">
        <f>IF( AND(S$3 &gt;= Вводные!$F146, S$3 &lt;= Вводные!$G146), 1, 0)</f>
        <v>1</v>
      </c>
      <c r="T17" s="3">
        <f>IF( AND(T$3 &gt;= Вводные!$F146, T$3 &lt;= Вводные!$G146), 1, 0)</f>
        <v>1</v>
      </c>
      <c r="U17" s="3">
        <f>IF( AND(U$3 &gt;= Вводные!$F146, U$3 &lt;= Вводные!$G146), 1, 0)</f>
        <v>1</v>
      </c>
      <c r="V17" s="3">
        <f>IF( AND(V$3 &gt;= Вводные!$F146, V$3 &lt;= Вводные!$G146), 1, 0)</f>
        <v>1</v>
      </c>
      <c r="W17" s="3">
        <f>IF( AND(W$3 &gt;= Вводные!$F146, W$3 &lt;= Вводные!$G146), 1, 0)</f>
        <v>1</v>
      </c>
      <c r="X17" s="3">
        <f>IF( AND(X$3 &gt;= Вводные!$F146, X$3 &lt;= Вводные!$G146), 1, 0)</f>
        <v>1</v>
      </c>
      <c r="Y17" s="3">
        <f>IF( AND(Y$3 &gt;= Вводные!$F146, Y$3 &lt;= Вводные!$G146), 1, 0)</f>
        <v>1</v>
      </c>
      <c r="Z17" s="3">
        <f>IF( AND(Z$3 &gt;= Вводные!$F146, Z$3 &lt;= Вводные!$G146), 1, 0)</f>
        <v>1</v>
      </c>
      <c r="AA17" s="3">
        <f>IF( AND(AA$3 &gt;= Вводные!$F146, AA$3 &lt;= Вводные!$G146), 1, 0)</f>
        <v>1</v>
      </c>
      <c r="AB17" s="3">
        <f>IF( AND(AB$3 &gt;= Вводные!$F146, AB$3 &lt;= Вводные!$G146), 1, 0)</f>
        <v>1</v>
      </c>
      <c r="AC17" s="3">
        <f>IF( AND(AC$3 &gt;= Вводные!$F146, AC$3 &lt;= Вводные!$G146), 1, 0)</f>
        <v>1</v>
      </c>
      <c r="AD17" s="3">
        <f>IF( AND(AD$3 &gt;= Вводные!$F146, AD$3 &lt;= Вводные!$G146), 1, 0)</f>
        <v>1</v>
      </c>
      <c r="AE17" s="3">
        <f>IF( AND(AE$3 &gt;= Вводные!$F146, AE$3 &lt;= Вводные!$G146), 1, 0)</f>
        <v>1</v>
      </c>
      <c r="AF17" s="3">
        <f>IF( AND(AF$3 &gt;= Вводные!$F146, AF$3 &lt;= Вводные!$G146), 1, 0)</f>
        <v>1</v>
      </c>
      <c r="AG17" s="3">
        <f>IF( AND(AG$3 &gt;= Вводные!$F146, AG$3 &lt;= Вводные!$G146), 1, 0)</f>
        <v>1</v>
      </c>
      <c r="AH17" s="3">
        <f>IF( AND(AH$3 &gt;= Вводные!$F146, AH$3 &lt;= Вводные!$G146), 1, 0)</f>
        <v>1</v>
      </c>
      <c r="AI17" s="3">
        <f>IF( AND(AI$3 &gt;= Вводные!$F146, AI$3 &lt;= Вводные!$G146), 1, 0)</f>
        <v>1</v>
      </c>
      <c r="AJ17" s="3">
        <f>IF( AND(AJ$3 &gt;= Вводные!$F146, AJ$3 &lt;= Вводные!$G146), 1, 0)</f>
        <v>1</v>
      </c>
      <c r="AK17" s="3">
        <f>IF( AND(AK$3 &gt;= Вводные!$F146, AK$3 &lt;= Вводные!$G146), 1, 0)</f>
        <v>1</v>
      </c>
      <c r="AL17" s="3">
        <f>IF( AND(AL$3 &gt;= Вводные!$F146, AL$3 &lt;= Вводные!$G146), 1, 0)</f>
        <v>1</v>
      </c>
      <c r="AM17" s="3">
        <f>IF( AND(AM$3 &gt;= Вводные!$F146, AM$3 &lt;= Вводные!$G146), 1, 0)</f>
        <v>1</v>
      </c>
      <c r="AN17" s="3">
        <f>IF( AND(AN$3 &gt;= Вводные!$F146, AN$3 &lt;= Вводные!$G146), 1, 0)</f>
        <v>1</v>
      </c>
      <c r="AO17" s="3">
        <f>IF( AND(AO$3 &gt;= Вводные!$F146, AO$3 &lt;= Вводные!$G146), 1, 0)</f>
        <v>1</v>
      </c>
      <c r="AP17" s="3">
        <f>IF( AND(AP$3 &gt;= Вводные!$F146, AP$3 &lt;= Вводные!$G146), 1, 0)</f>
        <v>1</v>
      </c>
      <c r="AQ17" s="3">
        <f>IF( AND(AQ$3 &gt;= Вводные!$F146, AQ$3 &lt;= Вводные!$G146), 1, 0)</f>
        <v>1</v>
      </c>
      <c r="AR17" s="3">
        <f>IF( AND(AR$3 &gt;= Вводные!$F146, AR$3 &lt;= Вводные!$G146), 1, 0)</f>
        <v>1</v>
      </c>
      <c r="AS17" s="3">
        <f>IF( AND(AS$3 &gt;= Вводные!$F146, AS$3 &lt;= Вводные!$G146), 1, 0)</f>
        <v>1</v>
      </c>
      <c r="AT17" s="3">
        <f>IF( AND(AT$3 &gt;= Вводные!$F146, AT$3 &lt;= Вводные!$G146), 1, 0)</f>
        <v>1</v>
      </c>
      <c r="AU17" s="3">
        <f>IF( AND(AU$3 &gt;= Вводные!$F146, AU$3 &lt;= Вводные!$G146), 1, 0)</f>
        <v>1</v>
      </c>
      <c r="AV17" s="3">
        <f>IF( AND(AV$3 &gt;= Вводные!$F146, AV$3 &lt;= Вводные!$G146), 1, 0)</f>
        <v>1</v>
      </c>
      <c r="AW17" s="3">
        <f>IF( AND(AW$3 &gt;= Вводные!$F146, AW$3 &lt;= Вводные!$G146), 1, 0)</f>
        <v>1</v>
      </c>
      <c r="AX17" s="3">
        <f>IF( AND(AX$3 &gt;= Вводные!$F146, AX$3 &lt;= Вводные!$G146), 1, 0)</f>
        <v>1</v>
      </c>
      <c r="AY17" s="3">
        <f>IF( AND(AY$3 &gt;= Вводные!$F146, AY$3 &lt;= Вводные!$G146), 1, 0)</f>
        <v>1</v>
      </c>
      <c r="AZ17" s="3">
        <f>IF( AND(AZ$3 &gt;= Вводные!$F146, AZ$3 &lt;= Вводные!$G146), 1, 0)</f>
        <v>1</v>
      </c>
      <c r="BA17" s="3">
        <f>IF( AND(BA$3 &gt;= Вводные!$F146, BA$3 &lt;= Вводные!$G146), 1, 0)</f>
        <v>1</v>
      </c>
      <c r="BB17" s="3">
        <f>IF( AND(BB$3 &gt;= Вводные!$F146, BB$3 &lt;= Вводные!$G146), 1, 0)</f>
        <v>1</v>
      </c>
      <c r="BC17" s="3">
        <f>IF( AND(BC$3 &gt;= Вводные!$F146, BC$3 &lt;= Вводные!$G146), 1, 0)</f>
        <v>1</v>
      </c>
      <c r="BD17" s="3">
        <f>IF( AND(BD$3 &gt;= Вводные!$F146, BD$3 &lt;= Вводные!$G146), 1, 0)</f>
        <v>1</v>
      </c>
      <c r="BE17" s="3">
        <f>IF( AND(BE$3 &gt;= Вводные!$F146, BE$3 &lt;= Вводные!$G146), 1, 0)</f>
        <v>1</v>
      </c>
      <c r="BF17" s="3">
        <f>IF( AND(BF$3 &gt;= Вводные!$F146, BF$3 &lt;= Вводные!$G146), 1, 0)</f>
        <v>1</v>
      </c>
      <c r="BG17" s="3">
        <f>IF( AND(BG$3 &gt;= Вводные!$F146, BG$3 &lt;= Вводные!$G146), 1, 0)</f>
        <v>1</v>
      </c>
      <c r="BH17" s="3">
        <f>IF( AND(BH$3 &gt;= Вводные!$F146, BH$3 &lt;= Вводные!$G146), 1, 0)</f>
        <v>1</v>
      </c>
      <c r="BI17" s="3">
        <f>IF( AND(BI$3 &gt;= Вводные!$F146, BI$3 &lt;= Вводные!$G146), 1, 0)</f>
        <v>1</v>
      </c>
      <c r="BJ17" s="3">
        <f>IF( AND(BJ$3 &gt;= Вводные!$F146, BJ$3 &lt;= Вводные!$G146), 1, 0)</f>
        <v>1</v>
      </c>
    </row>
    <row r="18" spans="4:62" x14ac:dyDescent="0.15">
      <c r="D18" s="11" t="str">
        <f>Вводные!$D$75</f>
        <v>Связь + интернет</v>
      </c>
      <c r="E18" s="12" t="s">
        <v>37</v>
      </c>
      <c r="J18" s="3">
        <f>IF( AND(J$3 &gt;= Вводные!$F147, J$3 &lt;= Вводные!$G147), 1, 0)</f>
        <v>1</v>
      </c>
      <c r="K18" s="3">
        <f>IF( AND(K$3 &gt;= Вводные!$F147, K$3 &lt;= Вводные!$G147), 1, 0)</f>
        <v>1</v>
      </c>
      <c r="L18" s="3">
        <f>IF( AND(L$3 &gt;= Вводные!$F147, L$3 &lt;= Вводные!$G147), 1, 0)</f>
        <v>1</v>
      </c>
      <c r="M18" s="3">
        <f>IF( AND(M$3 &gt;= Вводные!$F147, M$3 &lt;= Вводные!$G147), 1, 0)</f>
        <v>1</v>
      </c>
      <c r="N18" s="3">
        <f>IF( AND(N$3 &gt;= Вводные!$F147, N$3 &lt;= Вводные!$G147), 1, 0)</f>
        <v>1</v>
      </c>
      <c r="O18" s="3">
        <f>IF( AND(O$3 &gt;= Вводные!$F147, O$3 &lt;= Вводные!$G147), 1, 0)</f>
        <v>1</v>
      </c>
      <c r="P18" s="3">
        <f>IF( AND(P$3 &gt;= Вводные!$F147, P$3 &lt;= Вводные!$G147), 1, 0)</f>
        <v>1</v>
      </c>
      <c r="Q18" s="3">
        <f>IF( AND(Q$3 &gt;= Вводные!$F147, Q$3 &lt;= Вводные!$G147), 1, 0)</f>
        <v>1</v>
      </c>
      <c r="R18" s="3">
        <f>IF( AND(R$3 &gt;= Вводные!$F147, R$3 &lt;= Вводные!$G147), 1, 0)</f>
        <v>1</v>
      </c>
      <c r="S18" s="3">
        <f>IF( AND(S$3 &gt;= Вводные!$F147, S$3 &lt;= Вводные!$G147), 1, 0)</f>
        <v>1</v>
      </c>
      <c r="T18" s="3">
        <f>IF( AND(T$3 &gt;= Вводные!$F147, T$3 &lt;= Вводные!$G147), 1, 0)</f>
        <v>1</v>
      </c>
      <c r="U18" s="3">
        <f>IF( AND(U$3 &gt;= Вводные!$F147, U$3 &lt;= Вводные!$G147), 1, 0)</f>
        <v>1</v>
      </c>
      <c r="V18" s="3">
        <f>IF( AND(V$3 &gt;= Вводные!$F147, V$3 &lt;= Вводные!$G147), 1, 0)</f>
        <v>1</v>
      </c>
      <c r="W18" s="3">
        <f>IF( AND(W$3 &gt;= Вводные!$F147, W$3 &lt;= Вводные!$G147), 1, 0)</f>
        <v>1</v>
      </c>
      <c r="X18" s="3">
        <f>IF( AND(X$3 &gt;= Вводные!$F147, X$3 &lt;= Вводные!$G147), 1, 0)</f>
        <v>1</v>
      </c>
      <c r="Y18" s="3">
        <f>IF( AND(Y$3 &gt;= Вводные!$F147, Y$3 &lt;= Вводные!$G147), 1, 0)</f>
        <v>1</v>
      </c>
      <c r="Z18" s="3">
        <f>IF( AND(Z$3 &gt;= Вводные!$F147, Z$3 &lt;= Вводные!$G147), 1, 0)</f>
        <v>1</v>
      </c>
      <c r="AA18" s="3">
        <f>IF( AND(AA$3 &gt;= Вводные!$F147, AA$3 &lt;= Вводные!$G147), 1, 0)</f>
        <v>1</v>
      </c>
      <c r="AB18" s="3">
        <f>IF( AND(AB$3 &gt;= Вводные!$F147, AB$3 &lt;= Вводные!$G147), 1, 0)</f>
        <v>1</v>
      </c>
      <c r="AC18" s="3">
        <f>IF( AND(AC$3 &gt;= Вводные!$F147, AC$3 &lt;= Вводные!$G147), 1, 0)</f>
        <v>1</v>
      </c>
      <c r="AD18" s="3">
        <f>IF( AND(AD$3 &gt;= Вводные!$F147, AD$3 &lt;= Вводные!$G147), 1, 0)</f>
        <v>1</v>
      </c>
      <c r="AE18" s="3">
        <f>IF( AND(AE$3 &gt;= Вводные!$F147, AE$3 &lt;= Вводные!$G147), 1, 0)</f>
        <v>1</v>
      </c>
      <c r="AF18" s="3">
        <f>IF( AND(AF$3 &gt;= Вводные!$F147, AF$3 &lt;= Вводные!$G147), 1, 0)</f>
        <v>1</v>
      </c>
      <c r="AG18" s="3">
        <f>IF( AND(AG$3 &gt;= Вводные!$F147, AG$3 &lt;= Вводные!$G147), 1, 0)</f>
        <v>1</v>
      </c>
      <c r="AH18" s="3">
        <f>IF( AND(AH$3 &gt;= Вводные!$F147, AH$3 &lt;= Вводные!$G147), 1, 0)</f>
        <v>1</v>
      </c>
      <c r="AI18" s="3">
        <f>IF( AND(AI$3 &gt;= Вводные!$F147, AI$3 &lt;= Вводные!$G147), 1, 0)</f>
        <v>1</v>
      </c>
      <c r="AJ18" s="3">
        <f>IF( AND(AJ$3 &gt;= Вводные!$F147, AJ$3 &lt;= Вводные!$G147), 1, 0)</f>
        <v>1</v>
      </c>
      <c r="AK18" s="3">
        <f>IF( AND(AK$3 &gt;= Вводные!$F147, AK$3 &lt;= Вводные!$G147), 1, 0)</f>
        <v>1</v>
      </c>
      <c r="AL18" s="3">
        <f>IF( AND(AL$3 &gt;= Вводные!$F147, AL$3 &lt;= Вводные!$G147), 1, 0)</f>
        <v>1</v>
      </c>
      <c r="AM18" s="3">
        <f>IF( AND(AM$3 &gt;= Вводные!$F147, AM$3 &lt;= Вводные!$G147), 1, 0)</f>
        <v>1</v>
      </c>
      <c r="AN18" s="3">
        <f>IF( AND(AN$3 &gt;= Вводные!$F147, AN$3 &lt;= Вводные!$G147), 1, 0)</f>
        <v>1</v>
      </c>
      <c r="AO18" s="3">
        <f>IF( AND(AO$3 &gt;= Вводные!$F147, AO$3 &lt;= Вводные!$G147), 1, 0)</f>
        <v>1</v>
      </c>
      <c r="AP18" s="3">
        <f>IF( AND(AP$3 &gt;= Вводные!$F147, AP$3 &lt;= Вводные!$G147), 1, 0)</f>
        <v>1</v>
      </c>
      <c r="AQ18" s="3">
        <f>IF( AND(AQ$3 &gt;= Вводные!$F147, AQ$3 &lt;= Вводные!$G147), 1, 0)</f>
        <v>1</v>
      </c>
      <c r="AR18" s="3">
        <f>IF( AND(AR$3 &gt;= Вводные!$F147, AR$3 &lt;= Вводные!$G147), 1, 0)</f>
        <v>1</v>
      </c>
      <c r="AS18" s="3">
        <f>IF( AND(AS$3 &gt;= Вводные!$F147, AS$3 &lt;= Вводные!$G147), 1, 0)</f>
        <v>1</v>
      </c>
      <c r="AT18" s="3">
        <f>IF( AND(AT$3 &gt;= Вводные!$F147, AT$3 &lt;= Вводные!$G147), 1, 0)</f>
        <v>1</v>
      </c>
      <c r="AU18" s="3">
        <f>IF( AND(AU$3 &gt;= Вводные!$F147, AU$3 &lt;= Вводные!$G147), 1, 0)</f>
        <v>1</v>
      </c>
      <c r="AV18" s="3">
        <f>IF( AND(AV$3 &gt;= Вводные!$F147, AV$3 &lt;= Вводные!$G147), 1, 0)</f>
        <v>1</v>
      </c>
      <c r="AW18" s="3">
        <f>IF( AND(AW$3 &gt;= Вводные!$F147, AW$3 &lt;= Вводные!$G147), 1, 0)</f>
        <v>1</v>
      </c>
      <c r="AX18" s="3">
        <f>IF( AND(AX$3 &gt;= Вводные!$F147, AX$3 &lt;= Вводные!$G147), 1, 0)</f>
        <v>1</v>
      </c>
      <c r="AY18" s="3">
        <f>IF( AND(AY$3 &gt;= Вводные!$F147, AY$3 &lt;= Вводные!$G147), 1, 0)</f>
        <v>1</v>
      </c>
      <c r="AZ18" s="3">
        <f>IF( AND(AZ$3 &gt;= Вводные!$F147, AZ$3 &lt;= Вводные!$G147), 1, 0)</f>
        <v>1</v>
      </c>
      <c r="BA18" s="3">
        <f>IF( AND(BA$3 &gt;= Вводные!$F147, BA$3 &lt;= Вводные!$G147), 1, 0)</f>
        <v>1</v>
      </c>
      <c r="BB18" s="3">
        <f>IF( AND(BB$3 &gt;= Вводные!$F147, BB$3 &lt;= Вводные!$G147), 1, 0)</f>
        <v>1</v>
      </c>
      <c r="BC18" s="3">
        <f>IF( AND(BC$3 &gt;= Вводные!$F147, BC$3 &lt;= Вводные!$G147), 1, 0)</f>
        <v>1</v>
      </c>
      <c r="BD18" s="3">
        <f>IF( AND(BD$3 &gt;= Вводные!$F147, BD$3 &lt;= Вводные!$G147), 1, 0)</f>
        <v>1</v>
      </c>
      <c r="BE18" s="3">
        <f>IF( AND(BE$3 &gt;= Вводные!$F147, BE$3 &lt;= Вводные!$G147), 1, 0)</f>
        <v>1</v>
      </c>
      <c r="BF18" s="3">
        <f>IF( AND(BF$3 &gt;= Вводные!$F147, BF$3 &lt;= Вводные!$G147), 1, 0)</f>
        <v>1</v>
      </c>
      <c r="BG18" s="3">
        <f>IF( AND(BG$3 &gt;= Вводные!$F147, BG$3 &lt;= Вводные!$G147), 1, 0)</f>
        <v>1</v>
      </c>
      <c r="BH18" s="3">
        <f>IF( AND(BH$3 &gt;= Вводные!$F147, BH$3 &lt;= Вводные!$G147), 1, 0)</f>
        <v>1</v>
      </c>
      <c r="BI18" s="3">
        <f>IF( AND(BI$3 &gt;= Вводные!$F147, BI$3 &lt;= Вводные!$G147), 1, 0)</f>
        <v>1</v>
      </c>
      <c r="BJ18" s="3">
        <f>IF( AND(BJ$3 &gt;= Вводные!$F147, BJ$3 &lt;= Вводные!$G147), 1, 0)</f>
        <v>1</v>
      </c>
    </row>
    <row r="19" spans="4:62" x14ac:dyDescent="0.15">
      <c r="D19" s="11" t="str">
        <f>Вводные!$D$76</f>
        <v>Командировки</v>
      </c>
      <c r="E19" s="12" t="s">
        <v>37</v>
      </c>
      <c r="J19" s="3">
        <f>IF( AND(J$3 &gt;= Вводные!$F148, J$3 &lt;= Вводные!$G148), 1, 0)</f>
        <v>1</v>
      </c>
      <c r="K19" s="3">
        <f>IF( AND(K$3 &gt;= Вводные!$F148, K$3 &lt;= Вводные!$G148), 1, 0)</f>
        <v>1</v>
      </c>
      <c r="L19" s="3">
        <f>IF( AND(L$3 &gt;= Вводные!$F148, L$3 &lt;= Вводные!$G148), 1, 0)</f>
        <v>1</v>
      </c>
      <c r="M19" s="3">
        <f>IF( AND(M$3 &gt;= Вводные!$F148, M$3 &lt;= Вводные!$G148), 1, 0)</f>
        <v>1</v>
      </c>
      <c r="N19" s="3">
        <f>IF( AND(N$3 &gt;= Вводные!$F148, N$3 &lt;= Вводные!$G148), 1, 0)</f>
        <v>1</v>
      </c>
      <c r="O19" s="3">
        <f>IF( AND(O$3 &gt;= Вводные!$F148, O$3 &lt;= Вводные!$G148), 1, 0)</f>
        <v>1</v>
      </c>
      <c r="P19" s="3">
        <f>IF( AND(P$3 &gt;= Вводные!$F148, P$3 &lt;= Вводные!$G148), 1, 0)</f>
        <v>1</v>
      </c>
      <c r="Q19" s="3">
        <f>IF( AND(Q$3 &gt;= Вводные!$F148, Q$3 &lt;= Вводные!$G148), 1, 0)</f>
        <v>1</v>
      </c>
      <c r="R19" s="3">
        <f>IF( AND(R$3 &gt;= Вводные!$F148, R$3 &lt;= Вводные!$G148), 1, 0)</f>
        <v>1</v>
      </c>
      <c r="S19" s="3">
        <f>IF( AND(S$3 &gt;= Вводные!$F148, S$3 &lt;= Вводные!$G148), 1, 0)</f>
        <v>1</v>
      </c>
      <c r="T19" s="3">
        <f>IF( AND(T$3 &gt;= Вводные!$F148, T$3 &lt;= Вводные!$G148), 1, 0)</f>
        <v>1</v>
      </c>
      <c r="U19" s="3">
        <f>IF( AND(U$3 &gt;= Вводные!$F148, U$3 &lt;= Вводные!$G148), 1, 0)</f>
        <v>1</v>
      </c>
      <c r="V19" s="3">
        <f>IF( AND(V$3 &gt;= Вводные!$F148, V$3 &lt;= Вводные!$G148), 1, 0)</f>
        <v>1</v>
      </c>
      <c r="W19" s="3">
        <f>IF( AND(W$3 &gt;= Вводные!$F148, W$3 &lt;= Вводные!$G148), 1, 0)</f>
        <v>1</v>
      </c>
      <c r="X19" s="3">
        <f>IF( AND(X$3 &gt;= Вводные!$F148, X$3 &lt;= Вводные!$G148), 1, 0)</f>
        <v>1</v>
      </c>
      <c r="Y19" s="3">
        <f>IF( AND(Y$3 &gt;= Вводные!$F148, Y$3 &lt;= Вводные!$G148), 1, 0)</f>
        <v>1</v>
      </c>
      <c r="Z19" s="3">
        <f>IF( AND(Z$3 &gt;= Вводные!$F148, Z$3 &lt;= Вводные!$G148), 1, 0)</f>
        <v>1</v>
      </c>
      <c r="AA19" s="3">
        <f>IF( AND(AA$3 &gt;= Вводные!$F148, AA$3 &lt;= Вводные!$G148), 1, 0)</f>
        <v>1</v>
      </c>
      <c r="AB19" s="3">
        <f>IF( AND(AB$3 &gt;= Вводные!$F148, AB$3 &lt;= Вводные!$G148), 1, 0)</f>
        <v>1</v>
      </c>
      <c r="AC19" s="3">
        <f>IF( AND(AC$3 &gt;= Вводные!$F148, AC$3 &lt;= Вводные!$G148), 1, 0)</f>
        <v>1</v>
      </c>
      <c r="AD19" s="3">
        <f>IF( AND(AD$3 &gt;= Вводные!$F148, AD$3 &lt;= Вводные!$G148), 1, 0)</f>
        <v>1</v>
      </c>
      <c r="AE19" s="3">
        <f>IF( AND(AE$3 &gt;= Вводные!$F148, AE$3 &lt;= Вводные!$G148), 1, 0)</f>
        <v>1</v>
      </c>
      <c r="AF19" s="3">
        <f>IF( AND(AF$3 &gt;= Вводные!$F148, AF$3 &lt;= Вводные!$G148), 1, 0)</f>
        <v>1</v>
      </c>
      <c r="AG19" s="3">
        <f>IF( AND(AG$3 &gt;= Вводные!$F148, AG$3 &lt;= Вводные!$G148), 1, 0)</f>
        <v>1</v>
      </c>
      <c r="AH19" s="3">
        <f>IF( AND(AH$3 &gt;= Вводные!$F148, AH$3 &lt;= Вводные!$G148), 1, 0)</f>
        <v>1</v>
      </c>
      <c r="AI19" s="3">
        <f>IF( AND(AI$3 &gt;= Вводные!$F148, AI$3 &lt;= Вводные!$G148), 1, 0)</f>
        <v>1</v>
      </c>
      <c r="AJ19" s="3">
        <f>IF( AND(AJ$3 &gt;= Вводные!$F148, AJ$3 &lt;= Вводные!$G148), 1, 0)</f>
        <v>1</v>
      </c>
      <c r="AK19" s="3">
        <f>IF( AND(AK$3 &gt;= Вводные!$F148, AK$3 &lt;= Вводные!$G148), 1, 0)</f>
        <v>1</v>
      </c>
      <c r="AL19" s="3">
        <f>IF( AND(AL$3 &gt;= Вводные!$F148, AL$3 &lt;= Вводные!$G148), 1, 0)</f>
        <v>1</v>
      </c>
      <c r="AM19" s="3">
        <f>IF( AND(AM$3 &gt;= Вводные!$F148, AM$3 &lt;= Вводные!$G148), 1, 0)</f>
        <v>1</v>
      </c>
      <c r="AN19" s="3">
        <f>IF( AND(AN$3 &gt;= Вводные!$F148, AN$3 &lt;= Вводные!$G148), 1, 0)</f>
        <v>1</v>
      </c>
      <c r="AO19" s="3">
        <f>IF( AND(AO$3 &gt;= Вводные!$F148, AO$3 &lt;= Вводные!$G148), 1, 0)</f>
        <v>1</v>
      </c>
      <c r="AP19" s="3">
        <f>IF( AND(AP$3 &gt;= Вводные!$F148, AP$3 &lt;= Вводные!$G148), 1, 0)</f>
        <v>1</v>
      </c>
      <c r="AQ19" s="3">
        <f>IF( AND(AQ$3 &gt;= Вводные!$F148, AQ$3 &lt;= Вводные!$G148), 1, 0)</f>
        <v>1</v>
      </c>
      <c r="AR19" s="3">
        <f>IF( AND(AR$3 &gt;= Вводные!$F148, AR$3 &lt;= Вводные!$G148), 1, 0)</f>
        <v>1</v>
      </c>
      <c r="AS19" s="3">
        <f>IF( AND(AS$3 &gt;= Вводные!$F148, AS$3 &lt;= Вводные!$G148), 1, 0)</f>
        <v>1</v>
      </c>
      <c r="AT19" s="3">
        <f>IF( AND(AT$3 &gt;= Вводные!$F148, AT$3 &lt;= Вводные!$G148), 1, 0)</f>
        <v>1</v>
      </c>
      <c r="AU19" s="3">
        <f>IF( AND(AU$3 &gt;= Вводные!$F148, AU$3 &lt;= Вводные!$G148), 1, 0)</f>
        <v>1</v>
      </c>
      <c r="AV19" s="3">
        <f>IF( AND(AV$3 &gt;= Вводные!$F148, AV$3 &lt;= Вводные!$G148), 1, 0)</f>
        <v>1</v>
      </c>
      <c r="AW19" s="3">
        <f>IF( AND(AW$3 &gt;= Вводные!$F148, AW$3 &lt;= Вводные!$G148), 1, 0)</f>
        <v>1</v>
      </c>
      <c r="AX19" s="3">
        <f>IF( AND(AX$3 &gt;= Вводные!$F148, AX$3 &lt;= Вводные!$G148), 1, 0)</f>
        <v>1</v>
      </c>
      <c r="AY19" s="3">
        <f>IF( AND(AY$3 &gt;= Вводные!$F148, AY$3 &lt;= Вводные!$G148), 1, 0)</f>
        <v>1</v>
      </c>
      <c r="AZ19" s="3">
        <f>IF( AND(AZ$3 &gt;= Вводные!$F148, AZ$3 &lt;= Вводные!$G148), 1, 0)</f>
        <v>1</v>
      </c>
      <c r="BA19" s="3">
        <f>IF( AND(BA$3 &gt;= Вводные!$F148, BA$3 &lt;= Вводные!$G148), 1, 0)</f>
        <v>1</v>
      </c>
      <c r="BB19" s="3">
        <f>IF( AND(BB$3 &gt;= Вводные!$F148, BB$3 &lt;= Вводные!$G148), 1, 0)</f>
        <v>1</v>
      </c>
      <c r="BC19" s="3">
        <f>IF( AND(BC$3 &gt;= Вводные!$F148, BC$3 &lt;= Вводные!$G148), 1, 0)</f>
        <v>1</v>
      </c>
      <c r="BD19" s="3">
        <f>IF( AND(BD$3 &gt;= Вводные!$F148, BD$3 &lt;= Вводные!$G148), 1, 0)</f>
        <v>1</v>
      </c>
      <c r="BE19" s="3">
        <f>IF( AND(BE$3 &gt;= Вводные!$F148, BE$3 &lt;= Вводные!$G148), 1, 0)</f>
        <v>1</v>
      </c>
      <c r="BF19" s="3">
        <f>IF( AND(BF$3 &gt;= Вводные!$F148, BF$3 &lt;= Вводные!$G148), 1, 0)</f>
        <v>1</v>
      </c>
      <c r="BG19" s="3">
        <f>IF( AND(BG$3 &gt;= Вводные!$F148, BG$3 &lt;= Вводные!$G148), 1, 0)</f>
        <v>1</v>
      </c>
      <c r="BH19" s="3">
        <f>IF( AND(BH$3 &gt;= Вводные!$F148, BH$3 &lt;= Вводные!$G148), 1, 0)</f>
        <v>1</v>
      </c>
      <c r="BI19" s="3">
        <f>IF( AND(BI$3 &gt;= Вводные!$F148, BI$3 &lt;= Вводные!$G148), 1, 0)</f>
        <v>1</v>
      </c>
      <c r="BJ19" s="3">
        <f>IF( AND(BJ$3 &gt;= Вводные!$F148, BJ$3 &lt;= Вводные!$G148), 1, 0)</f>
        <v>1</v>
      </c>
    </row>
    <row r="20" spans="4:62" x14ac:dyDescent="0.15">
      <c r="D20" s="11" t="str">
        <f>Вводные!$D$77</f>
        <v>Прочее</v>
      </c>
      <c r="E20" s="12" t="s">
        <v>37</v>
      </c>
      <c r="J20" s="3">
        <f>IF( AND(J$3 &gt;= Вводные!$F149, J$3 &lt;= Вводные!$G149), 1, 0)</f>
        <v>1</v>
      </c>
      <c r="K20" s="3">
        <f>IF( AND(K$3 &gt;= Вводные!$F149, K$3 &lt;= Вводные!$G149), 1, 0)</f>
        <v>1</v>
      </c>
      <c r="L20" s="3">
        <f>IF( AND(L$3 &gt;= Вводные!$F149, L$3 &lt;= Вводные!$G149), 1, 0)</f>
        <v>1</v>
      </c>
      <c r="M20" s="3">
        <f>IF( AND(M$3 &gt;= Вводные!$F149, M$3 &lt;= Вводные!$G149), 1, 0)</f>
        <v>1</v>
      </c>
      <c r="N20" s="3">
        <f>IF( AND(N$3 &gt;= Вводные!$F149, N$3 &lt;= Вводные!$G149), 1, 0)</f>
        <v>1</v>
      </c>
      <c r="O20" s="3">
        <f>IF( AND(O$3 &gt;= Вводные!$F149, O$3 &lt;= Вводные!$G149), 1, 0)</f>
        <v>1</v>
      </c>
      <c r="P20" s="3">
        <f>IF( AND(P$3 &gt;= Вводные!$F149, P$3 &lt;= Вводные!$G149), 1, 0)</f>
        <v>1</v>
      </c>
      <c r="Q20" s="3">
        <f>IF( AND(Q$3 &gt;= Вводные!$F149, Q$3 &lt;= Вводные!$G149), 1, 0)</f>
        <v>1</v>
      </c>
      <c r="R20" s="3">
        <f>IF( AND(R$3 &gt;= Вводные!$F149, R$3 &lt;= Вводные!$G149), 1, 0)</f>
        <v>1</v>
      </c>
      <c r="S20" s="3">
        <f>IF( AND(S$3 &gt;= Вводные!$F149, S$3 &lt;= Вводные!$G149), 1, 0)</f>
        <v>1</v>
      </c>
      <c r="T20" s="3">
        <f>IF( AND(T$3 &gt;= Вводные!$F149, T$3 &lt;= Вводные!$G149), 1, 0)</f>
        <v>1</v>
      </c>
      <c r="U20" s="3">
        <f>IF( AND(U$3 &gt;= Вводные!$F149, U$3 &lt;= Вводные!$G149), 1, 0)</f>
        <v>1</v>
      </c>
      <c r="V20" s="3">
        <f>IF( AND(V$3 &gt;= Вводные!$F149, V$3 &lt;= Вводные!$G149), 1, 0)</f>
        <v>1</v>
      </c>
      <c r="W20" s="3">
        <f>IF( AND(W$3 &gt;= Вводные!$F149, W$3 &lt;= Вводные!$G149), 1, 0)</f>
        <v>1</v>
      </c>
      <c r="X20" s="3">
        <f>IF( AND(X$3 &gt;= Вводные!$F149, X$3 &lt;= Вводные!$G149), 1, 0)</f>
        <v>1</v>
      </c>
      <c r="Y20" s="3">
        <f>IF( AND(Y$3 &gt;= Вводные!$F149, Y$3 &lt;= Вводные!$G149), 1, 0)</f>
        <v>1</v>
      </c>
      <c r="Z20" s="3">
        <f>IF( AND(Z$3 &gt;= Вводные!$F149, Z$3 &lt;= Вводные!$G149), 1, 0)</f>
        <v>1</v>
      </c>
      <c r="AA20" s="3">
        <f>IF( AND(AA$3 &gt;= Вводные!$F149, AA$3 &lt;= Вводные!$G149), 1, 0)</f>
        <v>1</v>
      </c>
      <c r="AB20" s="3">
        <f>IF( AND(AB$3 &gt;= Вводные!$F149, AB$3 &lt;= Вводные!$G149), 1, 0)</f>
        <v>1</v>
      </c>
      <c r="AC20" s="3">
        <f>IF( AND(AC$3 &gt;= Вводные!$F149, AC$3 &lt;= Вводные!$G149), 1, 0)</f>
        <v>1</v>
      </c>
      <c r="AD20" s="3">
        <f>IF( AND(AD$3 &gt;= Вводные!$F149, AD$3 &lt;= Вводные!$G149), 1, 0)</f>
        <v>1</v>
      </c>
      <c r="AE20" s="3">
        <f>IF( AND(AE$3 &gt;= Вводные!$F149, AE$3 &lt;= Вводные!$G149), 1, 0)</f>
        <v>1</v>
      </c>
      <c r="AF20" s="3">
        <f>IF( AND(AF$3 &gt;= Вводные!$F149, AF$3 &lt;= Вводные!$G149), 1, 0)</f>
        <v>1</v>
      </c>
      <c r="AG20" s="3">
        <f>IF( AND(AG$3 &gt;= Вводные!$F149, AG$3 &lt;= Вводные!$G149), 1, 0)</f>
        <v>1</v>
      </c>
      <c r="AH20" s="3">
        <f>IF( AND(AH$3 &gt;= Вводные!$F149, AH$3 &lt;= Вводные!$G149), 1, 0)</f>
        <v>1</v>
      </c>
      <c r="AI20" s="3">
        <f>IF( AND(AI$3 &gt;= Вводные!$F149, AI$3 &lt;= Вводные!$G149), 1, 0)</f>
        <v>1</v>
      </c>
      <c r="AJ20" s="3">
        <f>IF( AND(AJ$3 &gt;= Вводные!$F149, AJ$3 &lt;= Вводные!$G149), 1, 0)</f>
        <v>1</v>
      </c>
      <c r="AK20" s="3">
        <f>IF( AND(AK$3 &gt;= Вводные!$F149, AK$3 &lt;= Вводные!$G149), 1, 0)</f>
        <v>1</v>
      </c>
      <c r="AL20" s="3">
        <f>IF( AND(AL$3 &gt;= Вводные!$F149, AL$3 &lt;= Вводные!$G149), 1, 0)</f>
        <v>1</v>
      </c>
      <c r="AM20" s="3">
        <f>IF( AND(AM$3 &gt;= Вводные!$F149, AM$3 &lt;= Вводные!$G149), 1, 0)</f>
        <v>1</v>
      </c>
      <c r="AN20" s="3">
        <f>IF( AND(AN$3 &gt;= Вводные!$F149, AN$3 &lt;= Вводные!$G149), 1, 0)</f>
        <v>1</v>
      </c>
      <c r="AO20" s="3">
        <f>IF( AND(AO$3 &gt;= Вводные!$F149, AO$3 &lt;= Вводные!$G149), 1, 0)</f>
        <v>1</v>
      </c>
      <c r="AP20" s="3">
        <f>IF( AND(AP$3 &gt;= Вводные!$F149, AP$3 &lt;= Вводные!$G149), 1, 0)</f>
        <v>1</v>
      </c>
      <c r="AQ20" s="3">
        <f>IF( AND(AQ$3 &gt;= Вводные!$F149, AQ$3 &lt;= Вводные!$G149), 1, 0)</f>
        <v>1</v>
      </c>
      <c r="AR20" s="3">
        <f>IF( AND(AR$3 &gt;= Вводные!$F149, AR$3 &lt;= Вводные!$G149), 1, 0)</f>
        <v>1</v>
      </c>
      <c r="AS20" s="3">
        <f>IF( AND(AS$3 &gt;= Вводные!$F149, AS$3 &lt;= Вводные!$G149), 1, 0)</f>
        <v>1</v>
      </c>
      <c r="AT20" s="3">
        <f>IF( AND(AT$3 &gt;= Вводные!$F149, AT$3 &lt;= Вводные!$G149), 1, 0)</f>
        <v>1</v>
      </c>
      <c r="AU20" s="3">
        <f>IF( AND(AU$3 &gt;= Вводные!$F149, AU$3 &lt;= Вводные!$G149), 1, 0)</f>
        <v>1</v>
      </c>
      <c r="AV20" s="3">
        <f>IF( AND(AV$3 &gt;= Вводные!$F149, AV$3 &lt;= Вводные!$G149), 1, 0)</f>
        <v>1</v>
      </c>
      <c r="AW20" s="3">
        <f>IF( AND(AW$3 &gt;= Вводные!$F149, AW$3 &lt;= Вводные!$G149), 1, 0)</f>
        <v>1</v>
      </c>
      <c r="AX20" s="3">
        <f>IF( AND(AX$3 &gt;= Вводные!$F149, AX$3 &lt;= Вводные!$G149), 1, 0)</f>
        <v>1</v>
      </c>
      <c r="AY20" s="3">
        <f>IF( AND(AY$3 &gt;= Вводные!$F149, AY$3 &lt;= Вводные!$G149), 1, 0)</f>
        <v>1</v>
      </c>
      <c r="AZ20" s="3">
        <f>IF( AND(AZ$3 &gt;= Вводные!$F149, AZ$3 &lt;= Вводные!$G149), 1, 0)</f>
        <v>1</v>
      </c>
      <c r="BA20" s="3">
        <f>IF( AND(BA$3 &gt;= Вводные!$F149, BA$3 &lt;= Вводные!$G149), 1, 0)</f>
        <v>1</v>
      </c>
      <c r="BB20" s="3">
        <f>IF( AND(BB$3 &gt;= Вводные!$F149, BB$3 &lt;= Вводные!$G149), 1, 0)</f>
        <v>1</v>
      </c>
      <c r="BC20" s="3">
        <f>IF( AND(BC$3 &gt;= Вводные!$F149, BC$3 &lt;= Вводные!$G149), 1, 0)</f>
        <v>1</v>
      </c>
      <c r="BD20" s="3">
        <f>IF( AND(BD$3 &gt;= Вводные!$F149, BD$3 &lt;= Вводные!$G149), 1, 0)</f>
        <v>1</v>
      </c>
      <c r="BE20" s="3">
        <f>IF( AND(BE$3 &gt;= Вводные!$F149, BE$3 &lt;= Вводные!$G149), 1, 0)</f>
        <v>1</v>
      </c>
      <c r="BF20" s="3">
        <f>IF( AND(BF$3 &gt;= Вводные!$F149, BF$3 &lt;= Вводные!$G149), 1, 0)</f>
        <v>1</v>
      </c>
      <c r="BG20" s="3">
        <f>IF( AND(BG$3 &gt;= Вводные!$F149, BG$3 &lt;= Вводные!$G149), 1, 0)</f>
        <v>1</v>
      </c>
      <c r="BH20" s="3">
        <f>IF( AND(BH$3 &gt;= Вводные!$F149, BH$3 &lt;= Вводные!$G149), 1, 0)</f>
        <v>1</v>
      </c>
      <c r="BI20" s="3">
        <f>IF( AND(BI$3 &gt;= Вводные!$F149, BI$3 &lt;= Вводные!$G149), 1, 0)</f>
        <v>1</v>
      </c>
      <c r="BJ20" s="3">
        <f>IF( AND(BJ$3 &gt;= Вводные!$F149, BJ$3 &lt;= Вводные!$G149), 1, 0)</f>
        <v>1</v>
      </c>
    </row>
    <row r="21" spans="4:62" x14ac:dyDescent="0.15">
      <c r="D21" s="11" t="str">
        <f>Вводные!$D$78</f>
        <v>Ежемесячный расход 9</v>
      </c>
      <c r="E21" s="12" t="s">
        <v>37</v>
      </c>
      <c r="J21" s="3">
        <f>IF( AND(J$3 &gt;= Вводные!$F150, J$3 &lt;= Вводные!$G150), 1, 0)</f>
        <v>1</v>
      </c>
      <c r="K21" s="3">
        <f>IF( AND(K$3 &gt;= Вводные!$F150, K$3 &lt;= Вводные!$G150), 1, 0)</f>
        <v>1</v>
      </c>
      <c r="L21" s="3">
        <f>IF( AND(L$3 &gt;= Вводные!$F150, L$3 &lt;= Вводные!$G150), 1, 0)</f>
        <v>1</v>
      </c>
      <c r="M21" s="3">
        <f>IF( AND(M$3 &gt;= Вводные!$F150, M$3 &lt;= Вводные!$G150), 1, 0)</f>
        <v>1</v>
      </c>
      <c r="N21" s="3">
        <f>IF( AND(N$3 &gt;= Вводные!$F150, N$3 &lt;= Вводные!$G150), 1, 0)</f>
        <v>1</v>
      </c>
      <c r="O21" s="3">
        <f>IF( AND(O$3 &gt;= Вводные!$F150, O$3 &lt;= Вводные!$G150), 1, 0)</f>
        <v>1</v>
      </c>
      <c r="P21" s="3">
        <f>IF( AND(P$3 &gt;= Вводные!$F150, P$3 &lt;= Вводные!$G150), 1, 0)</f>
        <v>1</v>
      </c>
      <c r="Q21" s="3">
        <f>IF( AND(Q$3 &gt;= Вводные!$F150, Q$3 &lt;= Вводные!$G150), 1, 0)</f>
        <v>1</v>
      </c>
      <c r="R21" s="3">
        <f>IF( AND(R$3 &gt;= Вводные!$F150, R$3 &lt;= Вводные!$G150), 1, 0)</f>
        <v>1</v>
      </c>
      <c r="S21" s="3">
        <f>IF( AND(S$3 &gt;= Вводные!$F150, S$3 &lt;= Вводные!$G150), 1, 0)</f>
        <v>1</v>
      </c>
      <c r="T21" s="3">
        <f>IF( AND(T$3 &gt;= Вводные!$F150, T$3 &lt;= Вводные!$G150), 1, 0)</f>
        <v>1</v>
      </c>
      <c r="U21" s="3">
        <f>IF( AND(U$3 &gt;= Вводные!$F150, U$3 &lt;= Вводные!$G150), 1, 0)</f>
        <v>1</v>
      </c>
      <c r="V21" s="3">
        <f>IF( AND(V$3 &gt;= Вводные!$F150, V$3 &lt;= Вводные!$G150), 1, 0)</f>
        <v>1</v>
      </c>
      <c r="W21" s="3">
        <f>IF( AND(W$3 &gt;= Вводные!$F150, W$3 &lt;= Вводные!$G150), 1, 0)</f>
        <v>1</v>
      </c>
      <c r="X21" s="3">
        <f>IF( AND(X$3 &gt;= Вводные!$F150, X$3 &lt;= Вводные!$G150), 1, 0)</f>
        <v>1</v>
      </c>
      <c r="Y21" s="3">
        <f>IF( AND(Y$3 &gt;= Вводные!$F150, Y$3 &lt;= Вводные!$G150), 1, 0)</f>
        <v>1</v>
      </c>
      <c r="Z21" s="3">
        <f>IF( AND(Z$3 &gt;= Вводные!$F150, Z$3 &lt;= Вводные!$G150), 1, 0)</f>
        <v>1</v>
      </c>
      <c r="AA21" s="3">
        <f>IF( AND(AA$3 &gt;= Вводные!$F150, AA$3 &lt;= Вводные!$G150), 1, 0)</f>
        <v>1</v>
      </c>
      <c r="AB21" s="3">
        <f>IF( AND(AB$3 &gt;= Вводные!$F150, AB$3 &lt;= Вводные!$G150), 1, 0)</f>
        <v>1</v>
      </c>
      <c r="AC21" s="3">
        <f>IF( AND(AC$3 &gt;= Вводные!$F150, AC$3 &lt;= Вводные!$G150), 1, 0)</f>
        <v>1</v>
      </c>
      <c r="AD21" s="3">
        <f>IF( AND(AD$3 &gt;= Вводные!$F150, AD$3 &lt;= Вводные!$G150), 1, 0)</f>
        <v>1</v>
      </c>
      <c r="AE21" s="3">
        <f>IF( AND(AE$3 &gt;= Вводные!$F150, AE$3 &lt;= Вводные!$G150), 1, 0)</f>
        <v>1</v>
      </c>
      <c r="AF21" s="3">
        <f>IF( AND(AF$3 &gt;= Вводные!$F150, AF$3 &lt;= Вводные!$G150), 1, 0)</f>
        <v>1</v>
      </c>
      <c r="AG21" s="3">
        <f>IF( AND(AG$3 &gt;= Вводные!$F150, AG$3 &lt;= Вводные!$G150), 1, 0)</f>
        <v>1</v>
      </c>
      <c r="AH21" s="3">
        <f>IF( AND(AH$3 &gt;= Вводные!$F150, AH$3 &lt;= Вводные!$G150), 1, 0)</f>
        <v>1</v>
      </c>
      <c r="AI21" s="3">
        <f>IF( AND(AI$3 &gt;= Вводные!$F150, AI$3 &lt;= Вводные!$G150), 1, 0)</f>
        <v>1</v>
      </c>
      <c r="AJ21" s="3">
        <f>IF( AND(AJ$3 &gt;= Вводные!$F150, AJ$3 &lt;= Вводные!$G150), 1, 0)</f>
        <v>1</v>
      </c>
      <c r="AK21" s="3">
        <f>IF( AND(AK$3 &gt;= Вводные!$F150, AK$3 &lt;= Вводные!$G150), 1, 0)</f>
        <v>1</v>
      </c>
      <c r="AL21" s="3">
        <f>IF( AND(AL$3 &gt;= Вводные!$F150, AL$3 &lt;= Вводные!$G150), 1, 0)</f>
        <v>1</v>
      </c>
      <c r="AM21" s="3">
        <f>IF( AND(AM$3 &gt;= Вводные!$F150, AM$3 &lt;= Вводные!$G150), 1, 0)</f>
        <v>1</v>
      </c>
      <c r="AN21" s="3">
        <f>IF( AND(AN$3 &gt;= Вводные!$F150, AN$3 &lt;= Вводные!$G150), 1, 0)</f>
        <v>1</v>
      </c>
      <c r="AO21" s="3">
        <f>IF( AND(AO$3 &gt;= Вводные!$F150, AO$3 &lt;= Вводные!$G150), 1, 0)</f>
        <v>1</v>
      </c>
      <c r="AP21" s="3">
        <f>IF( AND(AP$3 &gt;= Вводные!$F150, AP$3 &lt;= Вводные!$G150), 1, 0)</f>
        <v>1</v>
      </c>
      <c r="AQ21" s="3">
        <f>IF( AND(AQ$3 &gt;= Вводные!$F150, AQ$3 &lt;= Вводные!$G150), 1, 0)</f>
        <v>1</v>
      </c>
      <c r="AR21" s="3">
        <f>IF( AND(AR$3 &gt;= Вводные!$F150, AR$3 &lt;= Вводные!$G150), 1, 0)</f>
        <v>1</v>
      </c>
      <c r="AS21" s="3">
        <f>IF( AND(AS$3 &gt;= Вводные!$F150, AS$3 &lt;= Вводные!$G150), 1, 0)</f>
        <v>1</v>
      </c>
      <c r="AT21" s="3">
        <f>IF( AND(AT$3 &gt;= Вводные!$F150, AT$3 &lt;= Вводные!$G150), 1, 0)</f>
        <v>1</v>
      </c>
      <c r="AU21" s="3">
        <f>IF( AND(AU$3 &gt;= Вводные!$F150, AU$3 &lt;= Вводные!$G150), 1, 0)</f>
        <v>1</v>
      </c>
      <c r="AV21" s="3">
        <f>IF( AND(AV$3 &gt;= Вводные!$F150, AV$3 &lt;= Вводные!$G150), 1, 0)</f>
        <v>1</v>
      </c>
      <c r="AW21" s="3">
        <f>IF( AND(AW$3 &gt;= Вводные!$F150, AW$3 &lt;= Вводные!$G150), 1, 0)</f>
        <v>1</v>
      </c>
      <c r="AX21" s="3">
        <f>IF( AND(AX$3 &gt;= Вводные!$F150, AX$3 &lt;= Вводные!$G150), 1, 0)</f>
        <v>1</v>
      </c>
      <c r="AY21" s="3">
        <f>IF( AND(AY$3 &gt;= Вводные!$F150, AY$3 &lt;= Вводные!$G150), 1, 0)</f>
        <v>1</v>
      </c>
      <c r="AZ21" s="3">
        <f>IF( AND(AZ$3 &gt;= Вводные!$F150, AZ$3 &lt;= Вводные!$G150), 1, 0)</f>
        <v>1</v>
      </c>
      <c r="BA21" s="3">
        <f>IF( AND(BA$3 &gt;= Вводные!$F150, BA$3 &lt;= Вводные!$G150), 1, 0)</f>
        <v>1</v>
      </c>
      <c r="BB21" s="3">
        <f>IF( AND(BB$3 &gt;= Вводные!$F150, BB$3 &lt;= Вводные!$G150), 1, 0)</f>
        <v>1</v>
      </c>
      <c r="BC21" s="3">
        <f>IF( AND(BC$3 &gt;= Вводные!$F150, BC$3 &lt;= Вводные!$G150), 1, 0)</f>
        <v>1</v>
      </c>
      <c r="BD21" s="3">
        <f>IF( AND(BD$3 &gt;= Вводные!$F150, BD$3 &lt;= Вводные!$G150), 1, 0)</f>
        <v>1</v>
      </c>
      <c r="BE21" s="3">
        <f>IF( AND(BE$3 &gt;= Вводные!$F150, BE$3 &lt;= Вводные!$G150), 1, 0)</f>
        <v>1</v>
      </c>
      <c r="BF21" s="3">
        <f>IF( AND(BF$3 &gt;= Вводные!$F150, BF$3 &lt;= Вводные!$G150), 1, 0)</f>
        <v>1</v>
      </c>
      <c r="BG21" s="3">
        <f>IF( AND(BG$3 &gt;= Вводные!$F150, BG$3 &lt;= Вводные!$G150), 1, 0)</f>
        <v>1</v>
      </c>
      <c r="BH21" s="3">
        <f>IF( AND(BH$3 &gt;= Вводные!$F150, BH$3 &lt;= Вводные!$G150), 1, 0)</f>
        <v>1</v>
      </c>
      <c r="BI21" s="3">
        <f>IF( AND(BI$3 &gt;= Вводные!$F150, BI$3 &lt;= Вводные!$G150), 1, 0)</f>
        <v>1</v>
      </c>
      <c r="BJ21" s="3">
        <f>IF( AND(BJ$3 &gt;= Вводные!$F150, BJ$3 &lt;= Вводные!$G150), 1, 0)</f>
        <v>1</v>
      </c>
    </row>
    <row r="22" spans="4:62" x14ac:dyDescent="0.15">
      <c r="D22" s="11" t="str">
        <f>Вводные!$D$79</f>
        <v>Ежемесячный расход 10</v>
      </c>
      <c r="E22" s="12" t="s">
        <v>37</v>
      </c>
      <c r="J22" s="3">
        <f>IF( AND(J$3 &gt;= Вводные!$F151, J$3 &lt;= Вводные!$G151), 1, 0)</f>
        <v>1</v>
      </c>
      <c r="K22" s="3">
        <f>IF( AND(K$3 &gt;= Вводные!$F151, K$3 &lt;= Вводные!$G151), 1, 0)</f>
        <v>1</v>
      </c>
      <c r="L22" s="3">
        <f>IF( AND(L$3 &gt;= Вводные!$F151, L$3 &lt;= Вводные!$G151), 1, 0)</f>
        <v>1</v>
      </c>
      <c r="M22" s="3">
        <f>IF( AND(M$3 &gt;= Вводные!$F151, M$3 &lt;= Вводные!$G151), 1, 0)</f>
        <v>1</v>
      </c>
      <c r="N22" s="3">
        <f>IF( AND(N$3 &gt;= Вводные!$F151, N$3 &lt;= Вводные!$G151), 1, 0)</f>
        <v>1</v>
      </c>
      <c r="O22" s="3">
        <f>IF( AND(O$3 &gt;= Вводные!$F151, O$3 &lt;= Вводные!$G151), 1, 0)</f>
        <v>1</v>
      </c>
      <c r="P22" s="3">
        <f>IF( AND(P$3 &gt;= Вводные!$F151, P$3 &lt;= Вводные!$G151), 1, 0)</f>
        <v>1</v>
      </c>
      <c r="Q22" s="3">
        <f>IF( AND(Q$3 &gt;= Вводные!$F151, Q$3 &lt;= Вводные!$G151), 1, 0)</f>
        <v>1</v>
      </c>
      <c r="R22" s="3">
        <f>IF( AND(R$3 &gt;= Вводные!$F151, R$3 &lt;= Вводные!$G151), 1, 0)</f>
        <v>1</v>
      </c>
      <c r="S22" s="3">
        <f>IF( AND(S$3 &gt;= Вводные!$F151, S$3 &lt;= Вводные!$G151), 1, 0)</f>
        <v>1</v>
      </c>
      <c r="T22" s="3">
        <f>IF( AND(T$3 &gt;= Вводные!$F151, T$3 &lt;= Вводные!$G151), 1, 0)</f>
        <v>1</v>
      </c>
      <c r="U22" s="3">
        <f>IF( AND(U$3 &gt;= Вводные!$F151, U$3 &lt;= Вводные!$G151), 1, 0)</f>
        <v>1</v>
      </c>
      <c r="V22" s="3">
        <f>IF( AND(V$3 &gt;= Вводные!$F151, V$3 &lt;= Вводные!$G151), 1, 0)</f>
        <v>1</v>
      </c>
      <c r="W22" s="3">
        <f>IF( AND(W$3 &gt;= Вводные!$F151, W$3 &lt;= Вводные!$G151), 1, 0)</f>
        <v>1</v>
      </c>
      <c r="X22" s="3">
        <f>IF( AND(X$3 &gt;= Вводные!$F151, X$3 &lt;= Вводные!$G151), 1, 0)</f>
        <v>1</v>
      </c>
      <c r="Y22" s="3">
        <f>IF( AND(Y$3 &gt;= Вводные!$F151, Y$3 &lt;= Вводные!$G151), 1, 0)</f>
        <v>1</v>
      </c>
      <c r="Z22" s="3">
        <f>IF( AND(Z$3 &gt;= Вводные!$F151, Z$3 &lt;= Вводные!$G151), 1, 0)</f>
        <v>1</v>
      </c>
      <c r="AA22" s="3">
        <f>IF( AND(AA$3 &gt;= Вводные!$F151, AA$3 &lt;= Вводные!$G151), 1, 0)</f>
        <v>1</v>
      </c>
      <c r="AB22" s="3">
        <f>IF( AND(AB$3 &gt;= Вводные!$F151, AB$3 &lt;= Вводные!$G151), 1, 0)</f>
        <v>1</v>
      </c>
      <c r="AC22" s="3">
        <f>IF( AND(AC$3 &gt;= Вводные!$F151, AC$3 &lt;= Вводные!$G151), 1, 0)</f>
        <v>1</v>
      </c>
      <c r="AD22" s="3">
        <f>IF( AND(AD$3 &gt;= Вводные!$F151, AD$3 &lt;= Вводные!$G151), 1, 0)</f>
        <v>1</v>
      </c>
      <c r="AE22" s="3">
        <f>IF( AND(AE$3 &gt;= Вводные!$F151, AE$3 &lt;= Вводные!$G151), 1, 0)</f>
        <v>1</v>
      </c>
      <c r="AF22" s="3">
        <f>IF( AND(AF$3 &gt;= Вводные!$F151, AF$3 &lt;= Вводные!$G151), 1, 0)</f>
        <v>1</v>
      </c>
      <c r="AG22" s="3">
        <f>IF( AND(AG$3 &gt;= Вводные!$F151, AG$3 &lt;= Вводные!$G151), 1, 0)</f>
        <v>1</v>
      </c>
      <c r="AH22" s="3">
        <f>IF( AND(AH$3 &gt;= Вводные!$F151, AH$3 &lt;= Вводные!$G151), 1, 0)</f>
        <v>1</v>
      </c>
      <c r="AI22" s="3">
        <f>IF( AND(AI$3 &gt;= Вводные!$F151, AI$3 &lt;= Вводные!$G151), 1, 0)</f>
        <v>1</v>
      </c>
      <c r="AJ22" s="3">
        <f>IF( AND(AJ$3 &gt;= Вводные!$F151, AJ$3 &lt;= Вводные!$G151), 1, 0)</f>
        <v>1</v>
      </c>
      <c r="AK22" s="3">
        <f>IF( AND(AK$3 &gt;= Вводные!$F151, AK$3 &lt;= Вводные!$G151), 1, 0)</f>
        <v>1</v>
      </c>
      <c r="AL22" s="3">
        <f>IF( AND(AL$3 &gt;= Вводные!$F151, AL$3 &lt;= Вводные!$G151), 1, 0)</f>
        <v>1</v>
      </c>
      <c r="AM22" s="3">
        <f>IF( AND(AM$3 &gt;= Вводные!$F151, AM$3 &lt;= Вводные!$G151), 1, 0)</f>
        <v>1</v>
      </c>
      <c r="AN22" s="3">
        <f>IF( AND(AN$3 &gt;= Вводные!$F151, AN$3 &lt;= Вводные!$G151), 1, 0)</f>
        <v>1</v>
      </c>
      <c r="AO22" s="3">
        <f>IF( AND(AO$3 &gt;= Вводные!$F151, AO$3 &lt;= Вводные!$G151), 1, 0)</f>
        <v>1</v>
      </c>
      <c r="AP22" s="3">
        <f>IF( AND(AP$3 &gt;= Вводные!$F151, AP$3 &lt;= Вводные!$G151), 1, 0)</f>
        <v>1</v>
      </c>
      <c r="AQ22" s="3">
        <f>IF( AND(AQ$3 &gt;= Вводные!$F151, AQ$3 &lt;= Вводные!$G151), 1, 0)</f>
        <v>1</v>
      </c>
      <c r="AR22" s="3">
        <f>IF( AND(AR$3 &gt;= Вводные!$F151, AR$3 &lt;= Вводные!$G151), 1, 0)</f>
        <v>1</v>
      </c>
      <c r="AS22" s="3">
        <f>IF( AND(AS$3 &gt;= Вводные!$F151, AS$3 &lt;= Вводные!$G151), 1, 0)</f>
        <v>1</v>
      </c>
      <c r="AT22" s="3">
        <f>IF( AND(AT$3 &gt;= Вводные!$F151, AT$3 &lt;= Вводные!$G151), 1, 0)</f>
        <v>1</v>
      </c>
      <c r="AU22" s="3">
        <f>IF( AND(AU$3 &gt;= Вводные!$F151, AU$3 &lt;= Вводные!$G151), 1, 0)</f>
        <v>1</v>
      </c>
      <c r="AV22" s="3">
        <f>IF( AND(AV$3 &gt;= Вводные!$F151, AV$3 &lt;= Вводные!$G151), 1, 0)</f>
        <v>1</v>
      </c>
      <c r="AW22" s="3">
        <f>IF( AND(AW$3 &gt;= Вводные!$F151, AW$3 &lt;= Вводные!$G151), 1, 0)</f>
        <v>1</v>
      </c>
      <c r="AX22" s="3">
        <f>IF( AND(AX$3 &gt;= Вводные!$F151, AX$3 &lt;= Вводные!$G151), 1, 0)</f>
        <v>1</v>
      </c>
      <c r="AY22" s="3">
        <f>IF( AND(AY$3 &gt;= Вводные!$F151, AY$3 &lt;= Вводные!$G151), 1, 0)</f>
        <v>1</v>
      </c>
      <c r="AZ22" s="3">
        <f>IF( AND(AZ$3 &gt;= Вводные!$F151, AZ$3 &lt;= Вводные!$G151), 1, 0)</f>
        <v>1</v>
      </c>
      <c r="BA22" s="3">
        <f>IF( AND(BA$3 &gt;= Вводные!$F151, BA$3 &lt;= Вводные!$G151), 1, 0)</f>
        <v>1</v>
      </c>
      <c r="BB22" s="3">
        <f>IF( AND(BB$3 &gt;= Вводные!$F151, BB$3 &lt;= Вводные!$G151), 1, 0)</f>
        <v>1</v>
      </c>
      <c r="BC22" s="3">
        <f>IF( AND(BC$3 &gt;= Вводные!$F151, BC$3 &lt;= Вводные!$G151), 1, 0)</f>
        <v>1</v>
      </c>
      <c r="BD22" s="3">
        <f>IF( AND(BD$3 &gt;= Вводные!$F151, BD$3 &lt;= Вводные!$G151), 1, 0)</f>
        <v>1</v>
      </c>
      <c r="BE22" s="3">
        <f>IF( AND(BE$3 &gt;= Вводные!$F151, BE$3 &lt;= Вводные!$G151), 1, 0)</f>
        <v>1</v>
      </c>
      <c r="BF22" s="3">
        <f>IF( AND(BF$3 &gt;= Вводные!$F151, BF$3 &lt;= Вводные!$G151), 1, 0)</f>
        <v>1</v>
      </c>
      <c r="BG22" s="3">
        <f>IF( AND(BG$3 &gt;= Вводные!$F151, BG$3 &lt;= Вводные!$G151), 1, 0)</f>
        <v>1</v>
      </c>
      <c r="BH22" s="3">
        <f>IF( AND(BH$3 &gt;= Вводные!$F151, BH$3 &lt;= Вводные!$G151), 1, 0)</f>
        <v>1</v>
      </c>
      <c r="BI22" s="3">
        <f>IF( AND(BI$3 &gt;= Вводные!$F151, BI$3 &lt;= Вводные!$G151), 1, 0)</f>
        <v>1</v>
      </c>
      <c r="BJ22" s="3">
        <f>IF( AND(BJ$3 &gt;= Вводные!$F151, BJ$3 &lt;= Вводные!$G151), 1, 0)</f>
        <v>1</v>
      </c>
    </row>
    <row r="23" spans="4:62" x14ac:dyDescent="0.15">
      <c r="D23" s="11" t="str">
        <f>Вводные!$D$80</f>
        <v>Ежемесячный расход 11</v>
      </c>
      <c r="E23" s="12" t="s">
        <v>37</v>
      </c>
      <c r="J23" s="3">
        <f>IF( AND(J$3 &gt;= Вводные!$F152, J$3 &lt;= Вводные!$G152), 1, 0)</f>
        <v>1</v>
      </c>
      <c r="K23" s="3">
        <f>IF( AND(K$3 &gt;= Вводные!$F152, K$3 &lt;= Вводные!$G152), 1, 0)</f>
        <v>1</v>
      </c>
      <c r="L23" s="3">
        <f>IF( AND(L$3 &gt;= Вводные!$F152, L$3 &lt;= Вводные!$G152), 1, 0)</f>
        <v>1</v>
      </c>
      <c r="M23" s="3">
        <f>IF( AND(M$3 &gt;= Вводные!$F152, M$3 &lt;= Вводные!$G152), 1, 0)</f>
        <v>1</v>
      </c>
      <c r="N23" s="3">
        <f>IF( AND(N$3 &gt;= Вводные!$F152, N$3 &lt;= Вводные!$G152), 1, 0)</f>
        <v>1</v>
      </c>
      <c r="O23" s="3">
        <f>IF( AND(O$3 &gt;= Вводные!$F152, O$3 &lt;= Вводные!$G152), 1, 0)</f>
        <v>1</v>
      </c>
      <c r="P23" s="3">
        <f>IF( AND(P$3 &gt;= Вводные!$F152, P$3 &lt;= Вводные!$G152), 1, 0)</f>
        <v>1</v>
      </c>
      <c r="Q23" s="3">
        <f>IF( AND(Q$3 &gt;= Вводные!$F152, Q$3 &lt;= Вводные!$G152), 1, 0)</f>
        <v>1</v>
      </c>
      <c r="R23" s="3">
        <f>IF( AND(R$3 &gt;= Вводные!$F152, R$3 &lt;= Вводные!$G152), 1, 0)</f>
        <v>1</v>
      </c>
      <c r="S23" s="3">
        <f>IF( AND(S$3 &gt;= Вводные!$F152, S$3 &lt;= Вводные!$G152), 1, 0)</f>
        <v>1</v>
      </c>
      <c r="T23" s="3">
        <f>IF( AND(T$3 &gt;= Вводные!$F152, T$3 &lt;= Вводные!$G152), 1, 0)</f>
        <v>1</v>
      </c>
      <c r="U23" s="3">
        <f>IF( AND(U$3 &gt;= Вводные!$F152, U$3 &lt;= Вводные!$G152), 1, 0)</f>
        <v>1</v>
      </c>
      <c r="V23" s="3">
        <f>IF( AND(V$3 &gt;= Вводные!$F152, V$3 &lt;= Вводные!$G152), 1, 0)</f>
        <v>1</v>
      </c>
      <c r="W23" s="3">
        <f>IF( AND(W$3 &gt;= Вводные!$F152, W$3 &lt;= Вводные!$G152), 1, 0)</f>
        <v>1</v>
      </c>
      <c r="X23" s="3">
        <f>IF( AND(X$3 &gt;= Вводные!$F152, X$3 &lt;= Вводные!$G152), 1, 0)</f>
        <v>1</v>
      </c>
      <c r="Y23" s="3">
        <f>IF( AND(Y$3 &gt;= Вводные!$F152, Y$3 &lt;= Вводные!$G152), 1, 0)</f>
        <v>1</v>
      </c>
      <c r="Z23" s="3">
        <f>IF( AND(Z$3 &gt;= Вводные!$F152, Z$3 &lt;= Вводные!$G152), 1, 0)</f>
        <v>1</v>
      </c>
      <c r="AA23" s="3">
        <f>IF( AND(AA$3 &gt;= Вводные!$F152, AA$3 &lt;= Вводные!$G152), 1, 0)</f>
        <v>1</v>
      </c>
      <c r="AB23" s="3">
        <f>IF( AND(AB$3 &gt;= Вводные!$F152, AB$3 &lt;= Вводные!$G152), 1, 0)</f>
        <v>1</v>
      </c>
      <c r="AC23" s="3">
        <f>IF( AND(AC$3 &gt;= Вводные!$F152, AC$3 &lt;= Вводные!$G152), 1, 0)</f>
        <v>1</v>
      </c>
      <c r="AD23" s="3">
        <f>IF( AND(AD$3 &gt;= Вводные!$F152, AD$3 &lt;= Вводные!$G152), 1, 0)</f>
        <v>1</v>
      </c>
      <c r="AE23" s="3">
        <f>IF( AND(AE$3 &gt;= Вводные!$F152, AE$3 &lt;= Вводные!$G152), 1, 0)</f>
        <v>1</v>
      </c>
      <c r="AF23" s="3">
        <f>IF( AND(AF$3 &gt;= Вводные!$F152, AF$3 &lt;= Вводные!$G152), 1, 0)</f>
        <v>1</v>
      </c>
      <c r="AG23" s="3">
        <f>IF( AND(AG$3 &gt;= Вводные!$F152, AG$3 &lt;= Вводные!$G152), 1, 0)</f>
        <v>1</v>
      </c>
      <c r="AH23" s="3">
        <f>IF( AND(AH$3 &gt;= Вводные!$F152, AH$3 &lt;= Вводные!$G152), 1, 0)</f>
        <v>1</v>
      </c>
      <c r="AI23" s="3">
        <f>IF( AND(AI$3 &gt;= Вводные!$F152, AI$3 &lt;= Вводные!$G152), 1, 0)</f>
        <v>1</v>
      </c>
      <c r="AJ23" s="3">
        <f>IF( AND(AJ$3 &gt;= Вводные!$F152, AJ$3 &lt;= Вводные!$G152), 1, 0)</f>
        <v>1</v>
      </c>
      <c r="AK23" s="3">
        <f>IF( AND(AK$3 &gt;= Вводные!$F152, AK$3 &lt;= Вводные!$G152), 1, 0)</f>
        <v>1</v>
      </c>
      <c r="AL23" s="3">
        <f>IF( AND(AL$3 &gt;= Вводные!$F152, AL$3 &lt;= Вводные!$G152), 1, 0)</f>
        <v>1</v>
      </c>
      <c r="AM23" s="3">
        <f>IF( AND(AM$3 &gt;= Вводные!$F152, AM$3 &lt;= Вводные!$G152), 1, 0)</f>
        <v>1</v>
      </c>
      <c r="AN23" s="3">
        <f>IF( AND(AN$3 &gt;= Вводные!$F152, AN$3 &lt;= Вводные!$G152), 1, 0)</f>
        <v>1</v>
      </c>
      <c r="AO23" s="3">
        <f>IF( AND(AO$3 &gt;= Вводные!$F152, AO$3 &lt;= Вводные!$G152), 1, 0)</f>
        <v>1</v>
      </c>
      <c r="AP23" s="3">
        <f>IF( AND(AP$3 &gt;= Вводные!$F152, AP$3 &lt;= Вводные!$G152), 1, 0)</f>
        <v>1</v>
      </c>
      <c r="AQ23" s="3">
        <f>IF( AND(AQ$3 &gt;= Вводные!$F152, AQ$3 &lt;= Вводные!$G152), 1, 0)</f>
        <v>1</v>
      </c>
      <c r="AR23" s="3">
        <f>IF( AND(AR$3 &gt;= Вводные!$F152, AR$3 &lt;= Вводные!$G152), 1, 0)</f>
        <v>1</v>
      </c>
      <c r="AS23" s="3">
        <f>IF( AND(AS$3 &gt;= Вводные!$F152, AS$3 &lt;= Вводные!$G152), 1, 0)</f>
        <v>1</v>
      </c>
      <c r="AT23" s="3">
        <f>IF( AND(AT$3 &gt;= Вводные!$F152, AT$3 &lt;= Вводные!$G152), 1, 0)</f>
        <v>1</v>
      </c>
      <c r="AU23" s="3">
        <f>IF( AND(AU$3 &gt;= Вводные!$F152, AU$3 &lt;= Вводные!$G152), 1, 0)</f>
        <v>1</v>
      </c>
      <c r="AV23" s="3">
        <f>IF( AND(AV$3 &gt;= Вводные!$F152, AV$3 &lt;= Вводные!$G152), 1, 0)</f>
        <v>1</v>
      </c>
      <c r="AW23" s="3">
        <f>IF( AND(AW$3 &gt;= Вводные!$F152, AW$3 &lt;= Вводные!$G152), 1, 0)</f>
        <v>1</v>
      </c>
      <c r="AX23" s="3">
        <f>IF( AND(AX$3 &gt;= Вводные!$F152, AX$3 &lt;= Вводные!$G152), 1, 0)</f>
        <v>1</v>
      </c>
      <c r="AY23" s="3">
        <f>IF( AND(AY$3 &gt;= Вводные!$F152, AY$3 &lt;= Вводные!$G152), 1, 0)</f>
        <v>1</v>
      </c>
      <c r="AZ23" s="3">
        <f>IF( AND(AZ$3 &gt;= Вводные!$F152, AZ$3 &lt;= Вводные!$G152), 1, 0)</f>
        <v>1</v>
      </c>
      <c r="BA23" s="3">
        <f>IF( AND(BA$3 &gt;= Вводные!$F152, BA$3 &lt;= Вводные!$G152), 1, 0)</f>
        <v>1</v>
      </c>
      <c r="BB23" s="3">
        <f>IF( AND(BB$3 &gt;= Вводные!$F152, BB$3 &lt;= Вводные!$G152), 1, 0)</f>
        <v>1</v>
      </c>
      <c r="BC23" s="3">
        <f>IF( AND(BC$3 &gt;= Вводные!$F152, BC$3 &lt;= Вводные!$G152), 1, 0)</f>
        <v>1</v>
      </c>
      <c r="BD23" s="3">
        <f>IF( AND(BD$3 &gt;= Вводные!$F152, BD$3 &lt;= Вводные!$G152), 1, 0)</f>
        <v>1</v>
      </c>
      <c r="BE23" s="3">
        <f>IF( AND(BE$3 &gt;= Вводные!$F152, BE$3 &lt;= Вводные!$G152), 1, 0)</f>
        <v>1</v>
      </c>
      <c r="BF23" s="3">
        <f>IF( AND(BF$3 &gt;= Вводные!$F152, BF$3 &lt;= Вводные!$G152), 1, 0)</f>
        <v>1</v>
      </c>
      <c r="BG23" s="3">
        <f>IF( AND(BG$3 &gt;= Вводные!$F152, BG$3 &lt;= Вводные!$G152), 1, 0)</f>
        <v>1</v>
      </c>
      <c r="BH23" s="3">
        <f>IF( AND(BH$3 &gt;= Вводные!$F152, BH$3 &lt;= Вводные!$G152), 1, 0)</f>
        <v>1</v>
      </c>
      <c r="BI23" s="3">
        <f>IF( AND(BI$3 &gt;= Вводные!$F152, BI$3 &lt;= Вводные!$G152), 1, 0)</f>
        <v>1</v>
      </c>
      <c r="BJ23" s="3">
        <f>IF( AND(BJ$3 &gt;= Вводные!$F152, BJ$3 &lt;= Вводные!$G152), 1, 0)</f>
        <v>1</v>
      </c>
    </row>
    <row r="24" spans="4:62" x14ac:dyDescent="0.15">
      <c r="D24" s="11" t="str">
        <f>Вводные!$D$81</f>
        <v>Ежемесячный расход 12</v>
      </c>
      <c r="E24" s="12" t="s">
        <v>37</v>
      </c>
      <c r="J24" s="3">
        <f>IF( AND(J$3 &gt;= Вводные!$F153, J$3 &lt;= Вводные!$G153), 1, 0)</f>
        <v>1</v>
      </c>
      <c r="K24" s="3">
        <f>IF( AND(K$3 &gt;= Вводные!$F153, K$3 &lt;= Вводные!$G153), 1, 0)</f>
        <v>1</v>
      </c>
      <c r="L24" s="3">
        <f>IF( AND(L$3 &gt;= Вводные!$F153, L$3 &lt;= Вводные!$G153), 1, 0)</f>
        <v>1</v>
      </c>
      <c r="M24" s="3">
        <f>IF( AND(M$3 &gt;= Вводные!$F153, M$3 &lt;= Вводные!$G153), 1, 0)</f>
        <v>1</v>
      </c>
      <c r="N24" s="3">
        <f>IF( AND(N$3 &gt;= Вводные!$F153, N$3 &lt;= Вводные!$G153), 1, 0)</f>
        <v>1</v>
      </c>
      <c r="O24" s="3">
        <f>IF( AND(O$3 &gt;= Вводные!$F153, O$3 &lt;= Вводные!$G153), 1, 0)</f>
        <v>1</v>
      </c>
      <c r="P24" s="3">
        <f>IF( AND(P$3 &gt;= Вводные!$F153, P$3 &lt;= Вводные!$G153), 1, 0)</f>
        <v>1</v>
      </c>
      <c r="Q24" s="3">
        <f>IF( AND(Q$3 &gt;= Вводные!$F153, Q$3 &lt;= Вводные!$G153), 1, 0)</f>
        <v>1</v>
      </c>
      <c r="R24" s="3">
        <f>IF( AND(R$3 &gt;= Вводные!$F153, R$3 &lt;= Вводные!$G153), 1, 0)</f>
        <v>1</v>
      </c>
      <c r="S24" s="3">
        <f>IF( AND(S$3 &gt;= Вводные!$F153, S$3 &lt;= Вводные!$G153), 1, 0)</f>
        <v>1</v>
      </c>
      <c r="T24" s="3">
        <f>IF( AND(T$3 &gt;= Вводные!$F153, T$3 &lt;= Вводные!$G153), 1, 0)</f>
        <v>1</v>
      </c>
      <c r="U24" s="3">
        <f>IF( AND(U$3 &gt;= Вводные!$F153, U$3 &lt;= Вводные!$G153), 1, 0)</f>
        <v>1</v>
      </c>
      <c r="V24" s="3">
        <f>IF( AND(V$3 &gt;= Вводные!$F153, V$3 &lt;= Вводные!$G153), 1, 0)</f>
        <v>1</v>
      </c>
      <c r="W24" s="3">
        <f>IF( AND(W$3 &gt;= Вводные!$F153, W$3 &lt;= Вводные!$G153), 1, 0)</f>
        <v>1</v>
      </c>
      <c r="X24" s="3">
        <f>IF( AND(X$3 &gt;= Вводные!$F153, X$3 &lt;= Вводные!$G153), 1, 0)</f>
        <v>1</v>
      </c>
      <c r="Y24" s="3">
        <f>IF( AND(Y$3 &gt;= Вводные!$F153, Y$3 &lt;= Вводные!$G153), 1, 0)</f>
        <v>1</v>
      </c>
      <c r="Z24" s="3">
        <f>IF( AND(Z$3 &gt;= Вводные!$F153, Z$3 &lt;= Вводные!$G153), 1, 0)</f>
        <v>1</v>
      </c>
      <c r="AA24" s="3">
        <f>IF( AND(AA$3 &gt;= Вводные!$F153, AA$3 &lt;= Вводные!$G153), 1, 0)</f>
        <v>1</v>
      </c>
      <c r="AB24" s="3">
        <f>IF( AND(AB$3 &gt;= Вводные!$F153, AB$3 &lt;= Вводные!$G153), 1, 0)</f>
        <v>1</v>
      </c>
      <c r="AC24" s="3">
        <f>IF( AND(AC$3 &gt;= Вводные!$F153, AC$3 &lt;= Вводные!$G153), 1, 0)</f>
        <v>1</v>
      </c>
      <c r="AD24" s="3">
        <f>IF( AND(AD$3 &gt;= Вводные!$F153, AD$3 &lt;= Вводные!$G153), 1, 0)</f>
        <v>1</v>
      </c>
      <c r="AE24" s="3">
        <f>IF( AND(AE$3 &gt;= Вводные!$F153, AE$3 &lt;= Вводные!$G153), 1, 0)</f>
        <v>1</v>
      </c>
      <c r="AF24" s="3">
        <f>IF( AND(AF$3 &gt;= Вводные!$F153, AF$3 &lt;= Вводные!$G153), 1, 0)</f>
        <v>1</v>
      </c>
      <c r="AG24" s="3">
        <f>IF( AND(AG$3 &gt;= Вводные!$F153, AG$3 &lt;= Вводные!$G153), 1, 0)</f>
        <v>1</v>
      </c>
      <c r="AH24" s="3">
        <f>IF( AND(AH$3 &gt;= Вводные!$F153, AH$3 &lt;= Вводные!$G153), 1, 0)</f>
        <v>1</v>
      </c>
      <c r="AI24" s="3">
        <f>IF( AND(AI$3 &gt;= Вводные!$F153, AI$3 &lt;= Вводные!$G153), 1, 0)</f>
        <v>1</v>
      </c>
      <c r="AJ24" s="3">
        <f>IF( AND(AJ$3 &gt;= Вводные!$F153, AJ$3 &lt;= Вводные!$G153), 1, 0)</f>
        <v>1</v>
      </c>
      <c r="AK24" s="3">
        <f>IF( AND(AK$3 &gt;= Вводные!$F153, AK$3 &lt;= Вводные!$G153), 1, 0)</f>
        <v>1</v>
      </c>
      <c r="AL24" s="3">
        <f>IF( AND(AL$3 &gt;= Вводные!$F153, AL$3 &lt;= Вводные!$G153), 1, 0)</f>
        <v>1</v>
      </c>
      <c r="AM24" s="3">
        <f>IF( AND(AM$3 &gt;= Вводные!$F153, AM$3 &lt;= Вводные!$G153), 1, 0)</f>
        <v>1</v>
      </c>
      <c r="AN24" s="3">
        <f>IF( AND(AN$3 &gt;= Вводные!$F153, AN$3 &lt;= Вводные!$G153), 1, 0)</f>
        <v>1</v>
      </c>
      <c r="AO24" s="3">
        <f>IF( AND(AO$3 &gt;= Вводные!$F153, AO$3 &lt;= Вводные!$G153), 1, 0)</f>
        <v>1</v>
      </c>
      <c r="AP24" s="3">
        <f>IF( AND(AP$3 &gt;= Вводные!$F153, AP$3 &lt;= Вводные!$G153), 1, 0)</f>
        <v>1</v>
      </c>
      <c r="AQ24" s="3">
        <f>IF( AND(AQ$3 &gt;= Вводные!$F153, AQ$3 &lt;= Вводные!$G153), 1, 0)</f>
        <v>1</v>
      </c>
      <c r="AR24" s="3">
        <f>IF( AND(AR$3 &gt;= Вводные!$F153, AR$3 &lt;= Вводные!$G153), 1, 0)</f>
        <v>1</v>
      </c>
      <c r="AS24" s="3">
        <f>IF( AND(AS$3 &gt;= Вводные!$F153, AS$3 &lt;= Вводные!$G153), 1, 0)</f>
        <v>1</v>
      </c>
      <c r="AT24" s="3">
        <f>IF( AND(AT$3 &gt;= Вводные!$F153, AT$3 &lt;= Вводные!$G153), 1, 0)</f>
        <v>1</v>
      </c>
      <c r="AU24" s="3">
        <f>IF( AND(AU$3 &gt;= Вводные!$F153, AU$3 &lt;= Вводные!$G153), 1, 0)</f>
        <v>1</v>
      </c>
      <c r="AV24" s="3">
        <f>IF( AND(AV$3 &gt;= Вводные!$F153, AV$3 &lt;= Вводные!$G153), 1, 0)</f>
        <v>1</v>
      </c>
      <c r="AW24" s="3">
        <f>IF( AND(AW$3 &gt;= Вводные!$F153, AW$3 &lt;= Вводные!$G153), 1, 0)</f>
        <v>1</v>
      </c>
      <c r="AX24" s="3">
        <f>IF( AND(AX$3 &gt;= Вводные!$F153, AX$3 &lt;= Вводные!$G153), 1, 0)</f>
        <v>1</v>
      </c>
      <c r="AY24" s="3">
        <f>IF( AND(AY$3 &gt;= Вводные!$F153, AY$3 &lt;= Вводные!$G153), 1, 0)</f>
        <v>1</v>
      </c>
      <c r="AZ24" s="3">
        <f>IF( AND(AZ$3 &gt;= Вводные!$F153, AZ$3 &lt;= Вводные!$G153), 1, 0)</f>
        <v>1</v>
      </c>
      <c r="BA24" s="3">
        <f>IF( AND(BA$3 &gt;= Вводные!$F153, BA$3 &lt;= Вводные!$G153), 1, 0)</f>
        <v>1</v>
      </c>
      <c r="BB24" s="3">
        <f>IF( AND(BB$3 &gt;= Вводные!$F153, BB$3 &lt;= Вводные!$G153), 1, 0)</f>
        <v>1</v>
      </c>
      <c r="BC24" s="3">
        <f>IF( AND(BC$3 &gt;= Вводные!$F153, BC$3 &lt;= Вводные!$G153), 1, 0)</f>
        <v>1</v>
      </c>
      <c r="BD24" s="3">
        <f>IF( AND(BD$3 &gt;= Вводные!$F153, BD$3 &lt;= Вводные!$G153), 1, 0)</f>
        <v>1</v>
      </c>
      <c r="BE24" s="3">
        <f>IF( AND(BE$3 &gt;= Вводные!$F153, BE$3 &lt;= Вводные!$G153), 1, 0)</f>
        <v>1</v>
      </c>
      <c r="BF24" s="3">
        <f>IF( AND(BF$3 &gt;= Вводные!$F153, BF$3 &lt;= Вводные!$G153), 1, 0)</f>
        <v>1</v>
      </c>
      <c r="BG24" s="3">
        <f>IF( AND(BG$3 &gt;= Вводные!$F153, BG$3 &lt;= Вводные!$G153), 1, 0)</f>
        <v>1</v>
      </c>
      <c r="BH24" s="3">
        <f>IF( AND(BH$3 &gt;= Вводные!$F153, BH$3 &lt;= Вводные!$G153), 1, 0)</f>
        <v>1</v>
      </c>
      <c r="BI24" s="3">
        <f>IF( AND(BI$3 &gt;= Вводные!$F153, BI$3 &lt;= Вводные!$G153), 1, 0)</f>
        <v>1</v>
      </c>
      <c r="BJ24" s="3">
        <f>IF( AND(BJ$3 &gt;= Вводные!$F153, BJ$3 &lt;= Вводные!$G153), 1, 0)</f>
        <v>1</v>
      </c>
    </row>
    <row r="25" spans="4:62" x14ac:dyDescent="0.15">
      <c r="D25" s="11" t="str">
        <f>Вводные!$D$82</f>
        <v>Ежемесячный расход 13</v>
      </c>
      <c r="E25" s="12" t="s">
        <v>37</v>
      </c>
      <c r="J25" s="3">
        <f>IF( AND(J$3 &gt;= Вводные!$F154, J$3 &lt;= Вводные!$G154), 1, 0)</f>
        <v>1</v>
      </c>
      <c r="K25" s="3">
        <f>IF( AND(K$3 &gt;= Вводные!$F154, K$3 &lt;= Вводные!$G154), 1, 0)</f>
        <v>1</v>
      </c>
      <c r="L25" s="3">
        <f>IF( AND(L$3 &gt;= Вводные!$F154, L$3 &lt;= Вводные!$G154), 1, 0)</f>
        <v>1</v>
      </c>
      <c r="M25" s="3">
        <f>IF( AND(M$3 &gt;= Вводные!$F154, M$3 &lt;= Вводные!$G154), 1, 0)</f>
        <v>1</v>
      </c>
      <c r="N25" s="3">
        <f>IF( AND(N$3 &gt;= Вводные!$F154, N$3 &lt;= Вводные!$G154), 1, 0)</f>
        <v>1</v>
      </c>
      <c r="O25" s="3">
        <f>IF( AND(O$3 &gt;= Вводные!$F154, O$3 &lt;= Вводные!$G154), 1, 0)</f>
        <v>1</v>
      </c>
      <c r="P25" s="3">
        <f>IF( AND(P$3 &gt;= Вводные!$F154, P$3 &lt;= Вводные!$G154), 1, 0)</f>
        <v>1</v>
      </c>
      <c r="Q25" s="3">
        <f>IF( AND(Q$3 &gt;= Вводные!$F154, Q$3 &lt;= Вводные!$G154), 1, 0)</f>
        <v>1</v>
      </c>
      <c r="R25" s="3">
        <f>IF( AND(R$3 &gt;= Вводные!$F154, R$3 &lt;= Вводные!$G154), 1, 0)</f>
        <v>1</v>
      </c>
      <c r="S25" s="3">
        <f>IF( AND(S$3 &gt;= Вводные!$F154, S$3 &lt;= Вводные!$G154), 1, 0)</f>
        <v>1</v>
      </c>
      <c r="T25" s="3">
        <f>IF( AND(T$3 &gt;= Вводные!$F154, T$3 &lt;= Вводные!$G154), 1, 0)</f>
        <v>1</v>
      </c>
      <c r="U25" s="3">
        <f>IF( AND(U$3 &gt;= Вводные!$F154, U$3 &lt;= Вводные!$G154), 1, 0)</f>
        <v>1</v>
      </c>
      <c r="V25" s="3">
        <f>IF( AND(V$3 &gt;= Вводные!$F154, V$3 &lt;= Вводные!$G154), 1, 0)</f>
        <v>1</v>
      </c>
      <c r="W25" s="3">
        <f>IF( AND(W$3 &gt;= Вводные!$F154, W$3 &lt;= Вводные!$G154), 1, 0)</f>
        <v>1</v>
      </c>
      <c r="X25" s="3">
        <f>IF( AND(X$3 &gt;= Вводные!$F154, X$3 &lt;= Вводные!$G154), 1, 0)</f>
        <v>1</v>
      </c>
      <c r="Y25" s="3">
        <f>IF( AND(Y$3 &gt;= Вводные!$F154, Y$3 &lt;= Вводные!$G154), 1, 0)</f>
        <v>1</v>
      </c>
      <c r="Z25" s="3">
        <f>IF( AND(Z$3 &gt;= Вводные!$F154, Z$3 &lt;= Вводные!$G154), 1, 0)</f>
        <v>1</v>
      </c>
      <c r="AA25" s="3">
        <f>IF( AND(AA$3 &gt;= Вводные!$F154, AA$3 &lt;= Вводные!$G154), 1, 0)</f>
        <v>1</v>
      </c>
      <c r="AB25" s="3">
        <f>IF( AND(AB$3 &gt;= Вводные!$F154, AB$3 &lt;= Вводные!$G154), 1, 0)</f>
        <v>1</v>
      </c>
      <c r="AC25" s="3">
        <f>IF( AND(AC$3 &gt;= Вводные!$F154, AC$3 &lt;= Вводные!$G154), 1, 0)</f>
        <v>1</v>
      </c>
      <c r="AD25" s="3">
        <f>IF( AND(AD$3 &gt;= Вводные!$F154, AD$3 &lt;= Вводные!$G154), 1, 0)</f>
        <v>1</v>
      </c>
      <c r="AE25" s="3">
        <f>IF( AND(AE$3 &gt;= Вводные!$F154, AE$3 &lt;= Вводные!$G154), 1, 0)</f>
        <v>1</v>
      </c>
      <c r="AF25" s="3">
        <f>IF( AND(AF$3 &gt;= Вводные!$F154, AF$3 &lt;= Вводные!$G154), 1, 0)</f>
        <v>1</v>
      </c>
      <c r="AG25" s="3">
        <f>IF( AND(AG$3 &gt;= Вводные!$F154, AG$3 &lt;= Вводные!$G154), 1, 0)</f>
        <v>1</v>
      </c>
      <c r="AH25" s="3">
        <f>IF( AND(AH$3 &gt;= Вводные!$F154, AH$3 &lt;= Вводные!$G154), 1, 0)</f>
        <v>1</v>
      </c>
      <c r="AI25" s="3">
        <f>IF( AND(AI$3 &gt;= Вводные!$F154, AI$3 &lt;= Вводные!$G154), 1, 0)</f>
        <v>1</v>
      </c>
      <c r="AJ25" s="3">
        <f>IF( AND(AJ$3 &gt;= Вводные!$F154, AJ$3 &lt;= Вводные!$G154), 1, 0)</f>
        <v>1</v>
      </c>
      <c r="AK25" s="3">
        <f>IF( AND(AK$3 &gt;= Вводные!$F154, AK$3 &lt;= Вводные!$G154), 1, 0)</f>
        <v>1</v>
      </c>
      <c r="AL25" s="3">
        <f>IF( AND(AL$3 &gt;= Вводные!$F154, AL$3 &lt;= Вводные!$G154), 1, 0)</f>
        <v>1</v>
      </c>
      <c r="AM25" s="3">
        <f>IF( AND(AM$3 &gt;= Вводные!$F154, AM$3 &lt;= Вводные!$G154), 1, 0)</f>
        <v>1</v>
      </c>
      <c r="AN25" s="3">
        <f>IF( AND(AN$3 &gt;= Вводные!$F154, AN$3 &lt;= Вводные!$G154), 1, 0)</f>
        <v>1</v>
      </c>
      <c r="AO25" s="3">
        <f>IF( AND(AO$3 &gt;= Вводные!$F154, AO$3 &lt;= Вводные!$G154), 1, 0)</f>
        <v>1</v>
      </c>
      <c r="AP25" s="3">
        <f>IF( AND(AP$3 &gt;= Вводные!$F154, AP$3 &lt;= Вводные!$G154), 1, 0)</f>
        <v>1</v>
      </c>
      <c r="AQ25" s="3">
        <f>IF( AND(AQ$3 &gt;= Вводные!$F154, AQ$3 &lt;= Вводные!$G154), 1, 0)</f>
        <v>1</v>
      </c>
      <c r="AR25" s="3">
        <f>IF( AND(AR$3 &gt;= Вводные!$F154, AR$3 &lt;= Вводные!$G154), 1, 0)</f>
        <v>1</v>
      </c>
      <c r="AS25" s="3">
        <f>IF( AND(AS$3 &gt;= Вводные!$F154, AS$3 &lt;= Вводные!$G154), 1, 0)</f>
        <v>1</v>
      </c>
      <c r="AT25" s="3">
        <f>IF( AND(AT$3 &gt;= Вводные!$F154, AT$3 &lt;= Вводные!$G154), 1, 0)</f>
        <v>1</v>
      </c>
      <c r="AU25" s="3">
        <f>IF( AND(AU$3 &gt;= Вводные!$F154, AU$3 &lt;= Вводные!$G154), 1, 0)</f>
        <v>1</v>
      </c>
      <c r="AV25" s="3">
        <f>IF( AND(AV$3 &gt;= Вводные!$F154, AV$3 &lt;= Вводные!$G154), 1, 0)</f>
        <v>1</v>
      </c>
      <c r="AW25" s="3">
        <f>IF( AND(AW$3 &gt;= Вводные!$F154, AW$3 &lt;= Вводные!$G154), 1, 0)</f>
        <v>1</v>
      </c>
      <c r="AX25" s="3">
        <f>IF( AND(AX$3 &gt;= Вводные!$F154, AX$3 &lt;= Вводные!$G154), 1, 0)</f>
        <v>1</v>
      </c>
      <c r="AY25" s="3">
        <f>IF( AND(AY$3 &gt;= Вводные!$F154, AY$3 &lt;= Вводные!$G154), 1, 0)</f>
        <v>1</v>
      </c>
      <c r="AZ25" s="3">
        <f>IF( AND(AZ$3 &gt;= Вводные!$F154, AZ$3 &lt;= Вводные!$G154), 1, 0)</f>
        <v>1</v>
      </c>
      <c r="BA25" s="3">
        <f>IF( AND(BA$3 &gt;= Вводные!$F154, BA$3 &lt;= Вводные!$G154), 1, 0)</f>
        <v>1</v>
      </c>
      <c r="BB25" s="3">
        <f>IF( AND(BB$3 &gt;= Вводные!$F154, BB$3 &lt;= Вводные!$G154), 1, 0)</f>
        <v>1</v>
      </c>
      <c r="BC25" s="3">
        <f>IF( AND(BC$3 &gt;= Вводные!$F154, BC$3 &lt;= Вводные!$G154), 1, 0)</f>
        <v>1</v>
      </c>
      <c r="BD25" s="3">
        <f>IF( AND(BD$3 &gt;= Вводные!$F154, BD$3 &lt;= Вводные!$G154), 1, 0)</f>
        <v>1</v>
      </c>
      <c r="BE25" s="3">
        <f>IF( AND(BE$3 &gt;= Вводные!$F154, BE$3 &lt;= Вводные!$G154), 1, 0)</f>
        <v>1</v>
      </c>
      <c r="BF25" s="3">
        <f>IF( AND(BF$3 &gt;= Вводные!$F154, BF$3 &lt;= Вводные!$G154), 1, 0)</f>
        <v>1</v>
      </c>
      <c r="BG25" s="3">
        <f>IF( AND(BG$3 &gt;= Вводные!$F154, BG$3 &lt;= Вводные!$G154), 1, 0)</f>
        <v>1</v>
      </c>
      <c r="BH25" s="3">
        <f>IF( AND(BH$3 &gt;= Вводные!$F154, BH$3 &lt;= Вводные!$G154), 1, 0)</f>
        <v>1</v>
      </c>
      <c r="BI25" s="3">
        <f>IF( AND(BI$3 &gt;= Вводные!$F154, BI$3 &lt;= Вводные!$G154), 1, 0)</f>
        <v>1</v>
      </c>
      <c r="BJ25" s="3">
        <f>IF( AND(BJ$3 &gt;= Вводные!$F154, BJ$3 &lt;= Вводные!$G154), 1, 0)</f>
        <v>1</v>
      </c>
    </row>
    <row r="26" spans="4:62" x14ac:dyDescent="0.15">
      <c r="D26" s="11" t="str">
        <f>Вводные!$D$83</f>
        <v>Ежемесячный расход 14</v>
      </c>
      <c r="E26" s="12" t="s">
        <v>37</v>
      </c>
      <c r="J26" s="3">
        <f>IF( AND(J$3 &gt;= Вводные!$F155, J$3 &lt;= Вводные!$G155), 1, 0)</f>
        <v>1</v>
      </c>
      <c r="K26" s="3">
        <f>IF( AND(K$3 &gt;= Вводные!$F155, K$3 &lt;= Вводные!$G155), 1, 0)</f>
        <v>1</v>
      </c>
      <c r="L26" s="3">
        <f>IF( AND(L$3 &gt;= Вводные!$F155, L$3 &lt;= Вводные!$G155), 1, 0)</f>
        <v>1</v>
      </c>
      <c r="M26" s="3">
        <f>IF( AND(M$3 &gt;= Вводные!$F155, M$3 &lt;= Вводные!$G155), 1, 0)</f>
        <v>1</v>
      </c>
      <c r="N26" s="3">
        <f>IF( AND(N$3 &gt;= Вводные!$F155, N$3 &lt;= Вводные!$G155), 1, 0)</f>
        <v>1</v>
      </c>
      <c r="O26" s="3">
        <f>IF( AND(O$3 &gt;= Вводные!$F155, O$3 &lt;= Вводные!$G155), 1, 0)</f>
        <v>1</v>
      </c>
      <c r="P26" s="3">
        <f>IF( AND(P$3 &gt;= Вводные!$F155, P$3 &lt;= Вводные!$G155), 1, 0)</f>
        <v>1</v>
      </c>
      <c r="Q26" s="3">
        <f>IF( AND(Q$3 &gt;= Вводные!$F155, Q$3 &lt;= Вводные!$G155), 1, 0)</f>
        <v>1</v>
      </c>
      <c r="R26" s="3">
        <f>IF( AND(R$3 &gt;= Вводные!$F155, R$3 &lt;= Вводные!$G155), 1, 0)</f>
        <v>1</v>
      </c>
      <c r="S26" s="3">
        <f>IF( AND(S$3 &gt;= Вводные!$F155, S$3 &lt;= Вводные!$G155), 1, 0)</f>
        <v>1</v>
      </c>
      <c r="T26" s="3">
        <f>IF( AND(T$3 &gt;= Вводные!$F155, T$3 &lt;= Вводные!$G155), 1, 0)</f>
        <v>1</v>
      </c>
      <c r="U26" s="3">
        <f>IF( AND(U$3 &gt;= Вводные!$F155, U$3 &lt;= Вводные!$G155), 1, 0)</f>
        <v>1</v>
      </c>
      <c r="V26" s="3">
        <f>IF( AND(V$3 &gt;= Вводные!$F155, V$3 &lt;= Вводные!$G155), 1, 0)</f>
        <v>1</v>
      </c>
      <c r="W26" s="3">
        <f>IF( AND(W$3 &gt;= Вводные!$F155, W$3 &lt;= Вводные!$G155), 1, 0)</f>
        <v>1</v>
      </c>
      <c r="X26" s="3">
        <f>IF( AND(X$3 &gt;= Вводные!$F155, X$3 &lt;= Вводные!$G155), 1, 0)</f>
        <v>1</v>
      </c>
      <c r="Y26" s="3">
        <f>IF( AND(Y$3 &gt;= Вводные!$F155, Y$3 &lt;= Вводные!$G155), 1, 0)</f>
        <v>1</v>
      </c>
      <c r="Z26" s="3">
        <f>IF( AND(Z$3 &gt;= Вводные!$F155, Z$3 &lt;= Вводные!$G155), 1, 0)</f>
        <v>1</v>
      </c>
      <c r="AA26" s="3">
        <f>IF( AND(AA$3 &gt;= Вводные!$F155, AA$3 &lt;= Вводные!$G155), 1, 0)</f>
        <v>1</v>
      </c>
      <c r="AB26" s="3">
        <f>IF( AND(AB$3 &gt;= Вводные!$F155, AB$3 &lt;= Вводные!$G155), 1, 0)</f>
        <v>1</v>
      </c>
      <c r="AC26" s="3">
        <f>IF( AND(AC$3 &gt;= Вводные!$F155, AC$3 &lt;= Вводные!$G155), 1, 0)</f>
        <v>1</v>
      </c>
      <c r="AD26" s="3">
        <f>IF( AND(AD$3 &gt;= Вводные!$F155, AD$3 &lt;= Вводные!$G155), 1, 0)</f>
        <v>1</v>
      </c>
      <c r="AE26" s="3">
        <f>IF( AND(AE$3 &gt;= Вводные!$F155, AE$3 &lt;= Вводные!$G155), 1, 0)</f>
        <v>1</v>
      </c>
      <c r="AF26" s="3">
        <f>IF( AND(AF$3 &gt;= Вводные!$F155, AF$3 &lt;= Вводные!$G155), 1, 0)</f>
        <v>1</v>
      </c>
      <c r="AG26" s="3">
        <f>IF( AND(AG$3 &gt;= Вводные!$F155, AG$3 &lt;= Вводные!$G155), 1, 0)</f>
        <v>1</v>
      </c>
      <c r="AH26" s="3">
        <f>IF( AND(AH$3 &gt;= Вводные!$F155, AH$3 &lt;= Вводные!$G155), 1, 0)</f>
        <v>1</v>
      </c>
      <c r="AI26" s="3">
        <f>IF( AND(AI$3 &gt;= Вводные!$F155, AI$3 &lt;= Вводные!$G155), 1, 0)</f>
        <v>1</v>
      </c>
      <c r="AJ26" s="3">
        <f>IF( AND(AJ$3 &gt;= Вводные!$F155, AJ$3 &lt;= Вводные!$G155), 1, 0)</f>
        <v>1</v>
      </c>
      <c r="AK26" s="3">
        <f>IF( AND(AK$3 &gt;= Вводные!$F155, AK$3 &lt;= Вводные!$G155), 1, 0)</f>
        <v>1</v>
      </c>
      <c r="AL26" s="3">
        <f>IF( AND(AL$3 &gt;= Вводные!$F155, AL$3 &lt;= Вводные!$G155), 1, 0)</f>
        <v>1</v>
      </c>
      <c r="AM26" s="3">
        <f>IF( AND(AM$3 &gt;= Вводные!$F155, AM$3 &lt;= Вводные!$G155), 1, 0)</f>
        <v>1</v>
      </c>
      <c r="AN26" s="3">
        <f>IF( AND(AN$3 &gt;= Вводные!$F155, AN$3 &lt;= Вводные!$G155), 1, 0)</f>
        <v>1</v>
      </c>
      <c r="AO26" s="3">
        <f>IF( AND(AO$3 &gt;= Вводные!$F155, AO$3 &lt;= Вводные!$G155), 1, 0)</f>
        <v>1</v>
      </c>
      <c r="AP26" s="3">
        <f>IF( AND(AP$3 &gt;= Вводные!$F155, AP$3 &lt;= Вводные!$G155), 1, 0)</f>
        <v>1</v>
      </c>
      <c r="AQ26" s="3">
        <f>IF( AND(AQ$3 &gt;= Вводные!$F155, AQ$3 &lt;= Вводные!$G155), 1, 0)</f>
        <v>1</v>
      </c>
      <c r="AR26" s="3">
        <f>IF( AND(AR$3 &gt;= Вводные!$F155, AR$3 &lt;= Вводные!$G155), 1, 0)</f>
        <v>1</v>
      </c>
      <c r="AS26" s="3">
        <f>IF( AND(AS$3 &gt;= Вводные!$F155, AS$3 &lt;= Вводные!$G155), 1, 0)</f>
        <v>1</v>
      </c>
      <c r="AT26" s="3">
        <f>IF( AND(AT$3 &gt;= Вводные!$F155, AT$3 &lt;= Вводные!$G155), 1, 0)</f>
        <v>1</v>
      </c>
      <c r="AU26" s="3">
        <f>IF( AND(AU$3 &gt;= Вводные!$F155, AU$3 &lt;= Вводные!$G155), 1, 0)</f>
        <v>1</v>
      </c>
      <c r="AV26" s="3">
        <f>IF( AND(AV$3 &gt;= Вводные!$F155, AV$3 &lt;= Вводные!$G155), 1, 0)</f>
        <v>1</v>
      </c>
      <c r="AW26" s="3">
        <f>IF( AND(AW$3 &gt;= Вводные!$F155, AW$3 &lt;= Вводные!$G155), 1, 0)</f>
        <v>1</v>
      </c>
      <c r="AX26" s="3">
        <f>IF( AND(AX$3 &gt;= Вводные!$F155, AX$3 &lt;= Вводные!$G155), 1, 0)</f>
        <v>1</v>
      </c>
      <c r="AY26" s="3">
        <f>IF( AND(AY$3 &gt;= Вводные!$F155, AY$3 &lt;= Вводные!$G155), 1, 0)</f>
        <v>1</v>
      </c>
      <c r="AZ26" s="3">
        <f>IF( AND(AZ$3 &gt;= Вводные!$F155, AZ$3 &lt;= Вводные!$G155), 1, 0)</f>
        <v>1</v>
      </c>
      <c r="BA26" s="3">
        <f>IF( AND(BA$3 &gt;= Вводные!$F155, BA$3 &lt;= Вводные!$G155), 1, 0)</f>
        <v>1</v>
      </c>
      <c r="BB26" s="3">
        <f>IF( AND(BB$3 &gt;= Вводные!$F155, BB$3 &lt;= Вводные!$G155), 1, 0)</f>
        <v>1</v>
      </c>
      <c r="BC26" s="3">
        <f>IF( AND(BC$3 &gt;= Вводные!$F155, BC$3 &lt;= Вводные!$G155), 1, 0)</f>
        <v>1</v>
      </c>
      <c r="BD26" s="3">
        <f>IF( AND(BD$3 &gt;= Вводные!$F155, BD$3 &lt;= Вводные!$G155), 1, 0)</f>
        <v>1</v>
      </c>
      <c r="BE26" s="3">
        <f>IF( AND(BE$3 &gt;= Вводные!$F155, BE$3 &lt;= Вводные!$G155), 1, 0)</f>
        <v>1</v>
      </c>
      <c r="BF26" s="3">
        <f>IF( AND(BF$3 &gt;= Вводные!$F155, BF$3 &lt;= Вводные!$G155), 1, 0)</f>
        <v>1</v>
      </c>
      <c r="BG26" s="3">
        <f>IF( AND(BG$3 &gt;= Вводные!$F155, BG$3 &lt;= Вводные!$G155), 1, 0)</f>
        <v>1</v>
      </c>
      <c r="BH26" s="3">
        <f>IF( AND(BH$3 &gt;= Вводные!$F155, BH$3 &lt;= Вводные!$G155), 1, 0)</f>
        <v>1</v>
      </c>
      <c r="BI26" s="3">
        <f>IF( AND(BI$3 &gt;= Вводные!$F155, BI$3 &lt;= Вводные!$G155), 1, 0)</f>
        <v>1</v>
      </c>
      <c r="BJ26" s="3">
        <f>IF( AND(BJ$3 &gt;= Вводные!$F155, BJ$3 &lt;= Вводные!$G155), 1, 0)</f>
        <v>1</v>
      </c>
    </row>
    <row r="27" spans="4:62" x14ac:dyDescent="0.15">
      <c r="D27" s="11" t="str">
        <f>Вводные!$D$84</f>
        <v>Ежемесячный расход 15</v>
      </c>
      <c r="E27" s="12" t="s">
        <v>37</v>
      </c>
      <c r="J27" s="3">
        <f>IF( AND(J$3 &gt;= Вводные!$F156, J$3 &lt;= Вводные!$G156), 1, 0)</f>
        <v>1</v>
      </c>
      <c r="K27" s="3">
        <f>IF( AND(K$3 &gt;= Вводные!$F156, K$3 &lt;= Вводные!$G156), 1, 0)</f>
        <v>1</v>
      </c>
      <c r="L27" s="3">
        <f>IF( AND(L$3 &gt;= Вводные!$F156, L$3 &lt;= Вводные!$G156), 1, 0)</f>
        <v>1</v>
      </c>
      <c r="M27" s="3">
        <f>IF( AND(M$3 &gt;= Вводные!$F156, M$3 &lt;= Вводные!$G156), 1, 0)</f>
        <v>1</v>
      </c>
      <c r="N27" s="3">
        <f>IF( AND(N$3 &gt;= Вводные!$F156, N$3 &lt;= Вводные!$G156), 1, 0)</f>
        <v>1</v>
      </c>
      <c r="O27" s="3">
        <f>IF( AND(O$3 &gt;= Вводные!$F156, O$3 &lt;= Вводные!$G156), 1, 0)</f>
        <v>1</v>
      </c>
      <c r="P27" s="3">
        <f>IF( AND(P$3 &gt;= Вводные!$F156, P$3 &lt;= Вводные!$G156), 1, 0)</f>
        <v>1</v>
      </c>
      <c r="Q27" s="3">
        <f>IF( AND(Q$3 &gt;= Вводные!$F156, Q$3 &lt;= Вводные!$G156), 1, 0)</f>
        <v>1</v>
      </c>
      <c r="R27" s="3">
        <f>IF( AND(R$3 &gt;= Вводные!$F156, R$3 &lt;= Вводные!$G156), 1, 0)</f>
        <v>1</v>
      </c>
      <c r="S27" s="3">
        <f>IF( AND(S$3 &gt;= Вводные!$F156, S$3 &lt;= Вводные!$G156), 1, 0)</f>
        <v>1</v>
      </c>
      <c r="T27" s="3">
        <f>IF( AND(T$3 &gt;= Вводные!$F156, T$3 &lt;= Вводные!$G156), 1, 0)</f>
        <v>1</v>
      </c>
      <c r="U27" s="3">
        <f>IF( AND(U$3 &gt;= Вводные!$F156, U$3 &lt;= Вводные!$G156), 1, 0)</f>
        <v>1</v>
      </c>
      <c r="V27" s="3">
        <f>IF( AND(V$3 &gt;= Вводные!$F156, V$3 &lt;= Вводные!$G156), 1, 0)</f>
        <v>1</v>
      </c>
      <c r="W27" s="3">
        <f>IF( AND(W$3 &gt;= Вводные!$F156, W$3 &lt;= Вводные!$G156), 1, 0)</f>
        <v>1</v>
      </c>
      <c r="X27" s="3">
        <f>IF( AND(X$3 &gt;= Вводные!$F156, X$3 &lt;= Вводные!$G156), 1, 0)</f>
        <v>1</v>
      </c>
      <c r="Y27" s="3">
        <f>IF( AND(Y$3 &gt;= Вводные!$F156, Y$3 &lt;= Вводные!$G156), 1, 0)</f>
        <v>1</v>
      </c>
      <c r="Z27" s="3">
        <f>IF( AND(Z$3 &gt;= Вводные!$F156, Z$3 &lt;= Вводные!$G156), 1, 0)</f>
        <v>1</v>
      </c>
      <c r="AA27" s="3">
        <f>IF( AND(AA$3 &gt;= Вводные!$F156, AA$3 &lt;= Вводные!$G156), 1, 0)</f>
        <v>1</v>
      </c>
      <c r="AB27" s="3">
        <f>IF( AND(AB$3 &gt;= Вводные!$F156, AB$3 &lt;= Вводные!$G156), 1, 0)</f>
        <v>1</v>
      </c>
      <c r="AC27" s="3">
        <f>IF( AND(AC$3 &gt;= Вводные!$F156, AC$3 &lt;= Вводные!$G156), 1, 0)</f>
        <v>1</v>
      </c>
      <c r="AD27" s="3">
        <f>IF( AND(AD$3 &gt;= Вводные!$F156, AD$3 &lt;= Вводные!$G156), 1, 0)</f>
        <v>1</v>
      </c>
      <c r="AE27" s="3">
        <f>IF( AND(AE$3 &gt;= Вводные!$F156, AE$3 &lt;= Вводные!$G156), 1, 0)</f>
        <v>1</v>
      </c>
      <c r="AF27" s="3">
        <f>IF( AND(AF$3 &gt;= Вводные!$F156, AF$3 &lt;= Вводные!$G156), 1, 0)</f>
        <v>1</v>
      </c>
      <c r="AG27" s="3">
        <f>IF( AND(AG$3 &gt;= Вводные!$F156, AG$3 &lt;= Вводные!$G156), 1, 0)</f>
        <v>1</v>
      </c>
      <c r="AH27" s="3">
        <f>IF( AND(AH$3 &gt;= Вводные!$F156, AH$3 &lt;= Вводные!$G156), 1, 0)</f>
        <v>1</v>
      </c>
      <c r="AI27" s="3">
        <f>IF( AND(AI$3 &gt;= Вводные!$F156, AI$3 &lt;= Вводные!$G156), 1, 0)</f>
        <v>1</v>
      </c>
      <c r="AJ27" s="3">
        <f>IF( AND(AJ$3 &gt;= Вводные!$F156, AJ$3 &lt;= Вводные!$G156), 1, 0)</f>
        <v>1</v>
      </c>
      <c r="AK27" s="3">
        <f>IF( AND(AK$3 &gt;= Вводные!$F156, AK$3 &lt;= Вводные!$G156), 1, 0)</f>
        <v>1</v>
      </c>
      <c r="AL27" s="3">
        <f>IF( AND(AL$3 &gt;= Вводные!$F156, AL$3 &lt;= Вводные!$G156), 1, 0)</f>
        <v>1</v>
      </c>
      <c r="AM27" s="3">
        <f>IF( AND(AM$3 &gt;= Вводные!$F156, AM$3 &lt;= Вводные!$G156), 1, 0)</f>
        <v>1</v>
      </c>
      <c r="AN27" s="3">
        <f>IF( AND(AN$3 &gt;= Вводные!$F156, AN$3 &lt;= Вводные!$G156), 1, 0)</f>
        <v>1</v>
      </c>
      <c r="AO27" s="3">
        <f>IF( AND(AO$3 &gt;= Вводные!$F156, AO$3 &lt;= Вводные!$G156), 1, 0)</f>
        <v>1</v>
      </c>
      <c r="AP27" s="3">
        <f>IF( AND(AP$3 &gt;= Вводные!$F156, AP$3 &lt;= Вводные!$G156), 1, 0)</f>
        <v>1</v>
      </c>
      <c r="AQ27" s="3">
        <f>IF( AND(AQ$3 &gt;= Вводные!$F156, AQ$3 &lt;= Вводные!$G156), 1, 0)</f>
        <v>1</v>
      </c>
      <c r="AR27" s="3">
        <f>IF( AND(AR$3 &gt;= Вводные!$F156, AR$3 &lt;= Вводные!$G156), 1, 0)</f>
        <v>1</v>
      </c>
      <c r="AS27" s="3">
        <f>IF( AND(AS$3 &gt;= Вводные!$F156, AS$3 &lt;= Вводные!$G156), 1, 0)</f>
        <v>1</v>
      </c>
      <c r="AT27" s="3">
        <f>IF( AND(AT$3 &gt;= Вводные!$F156, AT$3 &lt;= Вводные!$G156), 1, 0)</f>
        <v>1</v>
      </c>
      <c r="AU27" s="3">
        <f>IF( AND(AU$3 &gt;= Вводные!$F156, AU$3 &lt;= Вводные!$G156), 1, 0)</f>
        <v>1</v>
      </c>
      <c r="AV27" s="3">
        <f>IF( AND(AV$3 &gt;= Вводные!$F156, AV$3 &lt;= Вводные!$G156), 1, 0)</f>
        <v>1</v>
      </c>
      <c r="AW27" s="3">
        <f>IF( AND(AW$3 &gt;= Вводные!$F156, AW$3 &lt;= Вводные!$G156), 1, 0)</f>
        <v>1</v>
      </c>
      <c r="AX27" s="3">
        <f>IF( AND(AX$3 &gt;= Вводные!$F156, AX$3 &lt;= Вводные!$G156), 1, 0)</f>
        <v>1</v>
      </c>
      <c r="AY27" s="3">
        <f>IF( AND(AY$3 &gt;= Вводные!$F156, AY$3 &lt;= Вводные!$G156), 1, 0)</f>
        <v>1</v>
      </c>
      <c r="AZ27" s="3">
        <f>IF( AND(AZ$3 &gt;= Вводные!$F156, AZ$3 &lt;= Вводные!$G156), 1, 0)</f>
        <v>1</v>
      </c>
      <c r="BA27" s="3">
        <f>IF( AND(BA$3 &gt;= Вводные!$F156, BA$3 &lt;= Вводные!$G156), 1, 0)</f>
        <v>1</v>
      </c>
      <c r="BB27" s="3">
        <f>IF( AND(BB$3 &gt;= Вводные!$F156, BB$3 &lt;= Вводные!$G156), 1, 0)</f>
        <v>1</v>
      </c>
      <c r="BC27" s="3">
        <f>IF( AND(BC$3 &gt;= Вводные!$F156, BC$3 &lt;= Вводные!$G156), 1, 0)</f>
        <v>1</v>
      </c>
      <c r="BD27" s="3">
        <f>IF( AND(BD$3 &gt;= Вводные!$F156, BD$3 &lt;= Вводные!$G156), 1, 0)</f>
        <v>1</v>
      </c>
      <c r="BE27" s="3">
        <f>IF( AND(BE$3 &gt;= Вводные!$F156, BE$3 &lt;= Вводные!$G156), 1, 0)</f>
        <v>1</v>
      </c>
      <c r="BF27" s="3">
        <f>IF( AND(BF$3 &gt;= Вводные!$F156, BF$3 &lt;= Вводные!$G156), 1, 0)</f>
        <v>1</v>
      </c>
      <c r="BG27" s="3">
        <f>IF( AND(BG$3 &gt;= Вводные!$F156, BG$3 &lt;= Вводные!$G156), 1, 0)</f>
        <v>1</v>
      </c>
      <c r="BH27" s="3">
        <f>IF( AND(BH$3 &gt;= Вводные!$F156, BH$3 &lt;= Вводные!$G156), 1, 0)</f>
        <v>1</v>
      </c>
      <c r="BI27" s="3">
        <f>IF( AND(BI$3 &gt;= Вводные!$F156, BI$3 &lt;= Вводные!$G156), 1, 0)</f>
        <v>1</v>
      </c>
      <c r="BJ27" s="3">
        <f>IF( AND(BJ$3 &gt;= Вводные!$F156, BJ$3 &lt;= Вводные!$G156), 1, 0)</f>
        <v>1</v>
      </c>
    </row>
    <row r="28" spans="4:62" x14ac:dyDescent="0.15">
      <c r="D28" s="11" t="str">
        <f>Вводные!$D$85</f>
        <v>Ежемесячный расход 16</v>
      </c>
      <c r="E28" s="12" t="s">
        <v>37</v>
      </c>
      <c r="J28" s="3">
        <f>IF( AND(J$3 &gt;= Вводные!$F157, J$3 &lt;= Вводные!$G157), 1, 0)</f>
        <v>1</v>
      </c>
      <c r="K28" s="3">
        <f>IF( AND(K$3 &gt;= Вводные!$F157, K$3 &lt;= Вводные!$G157), 1, 0)</f>
        <v>1</v>
      </c>
      <c r="L28" s="3">
        <f>IF( AND(L$3 &gt;= Вводные!$F157, L$3 &lt;= Вводные!$G157), 1, 0)</f>
        <v>1</v>
      </c>
      <c r="M28" s="3">
        <f>IF( AND(M$3 &gt;= Вводные!$F157, M$3 &lt;= Вводные!$G157), 1, 0)</f>
        <v>1</v>
      </c>
      <c r="N28" s="3">
        <f>IF( AND(N$3 &gt;= Вводные!$F157, N$3 &lt;= Вводные!$G157), 1, 0)</f>
        <v>1</v>
      </c>
      <c r="O28" s="3">
        <f>IF( AND(O$3 &gt;= Вводные!$F157, O$3 &lt;= Вводные!$G157), 1, 0)</f>
        <v>1</v>
      </c>
      <c r="P28" s="3">
        <f>IF( AND(P$3 &gt;= Вводные!$F157, P$3 &lt;= Вводные!$G157), 1, 0)</f>
        <v>1</v>
      </c>
      <c r="Q28" s="3">
        <f>IF( AND(Q$3 &gt;= Вводные!$F157, Q$3 &lt;= Вводные!$G157), 1, 0)</f>
        <v>1</v>
      </c>
      <c r="R28" s="3">
        <f>IF( AND(R$3 &gt;= Вводные!$F157, R$3 &lt;= Вводные!$G157), 1, 0)</f>
        <v>1</v>
      </c>
      <c r="S28" s="3">
        <f>IF( AND(S$3 &gt;= Вводные!$F157, S$3 &lt;= Вводные!$G157), 1, 0)</f>
        <v>1</v>
      </c>
      <c r="T28" s="3">
        <f>IF( AND(T$3 &gt;= Вводные!$F157, T$3 &lt;= Вводные!$G157), 1, 0)</f>
        <v>1</v>
      </c>
      <c r="U28" s="3">
        <f>IF( AND(U$3 &gt;= Вводные!$F157, U$3 &lt;= Вводные!$G157), 1, 0)</f>
        <v>1</v>
      </c>
      <c r="V28" s="3">
        <f>IF( AND(V$3 &gt;= Вводные!$F157, V$3 &lt;= Вводные!$G157), 1, 0)</f>
        <v>1</v>
      </c>
      <c r="W28" s="3">
        <f>IF( AND(W$3 &gt;= Вводные!$F157, W$3 &lt;= Вводные!$G157), 1, 0)</f>
        <v>1</v>
      </c>
      <c r="X28" s="3">
        <f>IF( AND(X$3 &gt;= Вводные!$F157, X$3 &lt;= Вводные!$G157), 1, 0)</f>
        <v>1</v>
      </c>
      <c r="Y28" s="3">
        <f>IF( AND(Y$3 &gt;= Вводные!$F157, Y$3 &lt;= Вводные!$G157), 1, 0)</f>
        <v>1</v>
      </c>
      <c r="Z28" s="3">
        <f>IF( AND(Z$3 &gt;= Вводные!$F157, Z$3 &lt;= Вводные!$G157), 1, 0)</f>
        <v>1</v>
      </c>
      <c r="AA28" s="3">
        <f>IF( AND(AA$3 &gt;= Вводные!$F157, AA$3 &lt;= Вводные!$G157), 1, 0)</f>
        <v>1</v>
      </c>
      <c r="AB28" s="3">
        <f>IF( AND(AB$3 &gt;= Вводные!$F157, AB$3 &lt;= Вводные!$G157), 1, 0)</f>
        <v>1</v>
      </c>
      <c r="AC28" s="3">
        <f>IF( AND(AC$3 &gt;= Вводные!$F157, AC$3 &lt;= Вводные!$G157), 1, 0)</f>
        <v>1</v>
      </c>
      <c r="AD28" s="3">
        <f>IF( AND(AD$3 &gt;= Вводные!$F157, AD$3 &lt;= Вводные!$G157), 1, 0)</f>
        <v>1</v>
      </c>
      <c r="AE28" s="3">
        <f>IF( AND(AE$3 &gt;= Вводные!$F157, AE$3 &lt;= Вводные!$G157), 1, 0)</f>
        <v>1</v>
      </c>
      <c r="AF28" s="3">
        <f>IF( AND(AF$3 &gt;= Вводные!$F157, AF$3 &lt;= Вводные!$G157), 1, 0)</f>
        <v>1</v>
      </c>
      <c r="AG28" s="3">
        <f>IF( AND(AG$3 &gt;= Вводные!$F157, AG$3 &lt;= Вводные!$G157), 1, 0)</f>
        <v>1</v>
      </c>
      <c r="AH28" s="3">
        <f>IF( AND(AH$3 &gt;= Вводные!$F157, AH$3 &lt;= Вводные!$G157), 1, 0)</f>
        <v>1</v>
      </c>
      <c r="AI28" s="3">
        <f>IF( AND(AI$3 &gt;= Вводные!$F157, AI$3 &lt;= Вводные!$G157), 1, 0)</f>
        <v>1</v>
      </c>
      <c r="AJ28" s="3">
        <f>IF( AND(AJ$3 &gt;= Вводные!$F157, AJ$3 &lt;= Вводные!$G157), 1, 0)</f>
        <v>1</v>
      </c>
      <c r="AK28" s="3">
        <f>IF( AND(AK$3 &gt;= Вводные!$F157, AK$3 &lt;= Вводные!$G157), 1, 0)</f>
        <v>1</v>
      </c>
      <c r="AL28" s="3">
        <f>IF( AND(AL$3 &gt;= Вводные!$F157, AL$3 &lt;= Вводные!$G157), 1, 0)</f>
        <v>1</v>
      </c>
      <c r="AM28" s="3">
        <f>IF( AND(AM$3 &gt;= Вводные!$F157, AM$3 &lt;= Вводные!$G157), 1, 0)</f>
        <v>1</v>
      </c>
      <c r="AN28" s="3">
        <f>IF( AND(AN$3 &gt;= Вводные!$F157, AN$3 &lt;= Вводные!$G157), 1, 0)</f>
        <v>1</v>
      </c>
      <c r="AO28" s="3">
        <f>IF( AND(AO$3 &gt;= Вводные!$F157, AO$3 &lt;= Вводные!$G157), 1, 0)</f>
        <v>1</v>
      </c>
      <c r="AP28" s="3">
        <f>IF( AND(AP$3 &gt;= Вводные!$F157, AP$3 &lt;= Вводные!$G157), 1, 0)</f>
        <v>1</v>
      </c>
      <c r="AQ28" s="3">
        <f>IF( AND(AQ$3 &gt;= Вводные!$F157, AQ$3 &lt;= Вводные!$G157), 1, 0)</f>
        <v>1</v>
      </c>
      <c r="AR28" s="3">
        <f>IF( AND(AR$3 &gt;= Вводные!$F157, AR$3 &lt;= Вводные!$G157), 1, 0)</f>
        <v>1</v>
      </c>
      <c r="AS28" s="3">
        <f>IF( AND(AS$3 &gt;= Вводные!$F157, AS$3 &lt;= Вводные!$G157), 1, 0)</f>
        <v>1</v>
      </c>
      <c r="AT28" s="3">
        <f>IF( AND(AT$3 &gt;= Вводные!$F157, AT$3 &lt;= Вводные!$G157), 1, 0)</f>
        <v>1</v>
      </c>
      <c r="AU28" s="3">
        <f>IF( AND(AU$3 &gt;= Вводные!$F157, AU$3 &lt;= Вводные!$G157), 1, 0)</f>
        <v>1</v>
      </c>
      <c r="AV28" s="3">
        <f>IF( AND(AV$3 &gt;= Вводные!$F157, AV$3 &lt;= Вводные!$G157), 1, 0)</f>
        <v>1</v>
      </c>
      <c r="AW28" s="3">
        <f>IF( AND(AW$3 &gt;= Вводные!$F157, AW$3 &lt;= Вводные!$G157), 1, 0)</f>
        <v>1</v>
      </c>
      <c r="AX28" s="3">
        <f>IF( AND(AX$3 &gt;= Вводные!$F157, AX$3 &lt;= Вводные!$G157), 1, 0)</f>
        <v>1</v>
      </c>
      <c r="AY28" s="3">
        <f>IF( AND(AY$3 &gt;= Вводные!$F157, AY$3 &lt;= Вводные!$G157), 1, 0)</f>
        <v>1</v>
      </c>
      <c r="AZ28" s="3">
        <f>IF( AND(AZ$3 &gt;= Вводные!$F157, AZ$3 &lt;= Вводные!$G157), 1, 0)</f>
        <v>1</v>
      </c>
      <c r="BA28" s="3">
        <f>IF( AND(BA$3 &gt;= Вводные!$F157, BA$3 &lt;= Вводные!$G157), 1, 0)</f>
        <v>1</v>
      </c>
      <c r="BB28" s="3">
        <f>IF( AND(BB$3 &gt;= Вводные!$F157, BB$3 &lt;= Вводные!$G157), 1, 0)</f>
        <v>1</v>
      </c>
      <c r="BC28" s="3">
        <f>IF( AND(BC$3 &gt;= Вводные!$F157, BC$3 &lt;= Вводные!$G157), 1, 0)</f>
        <v>1</v>
      </c>
      <c r="BD28" s="3">
        <f>IF( AND(BD$3 &gt;= Вводные!$F157, BD$3 &lt;= Вводные!$G157), 1, 0)</f>
        <v>1</v>
      </c>
      <c r="BE28" s="3">
        <f>IF( AND(BE$3 &gt;= Вводные!$F157, BE$3 &lt;= Вводные!$G157), 1, 0)</f>
        <v>1</v>
      </c>
      <c r="BF28" s="3">
        <f>IF( AND(BF$3 &gt;= Вводные!$F157, BF$3 &lt;= Вводные!$G157), 1, 0)</f>
        <v>1</v>
      </c>
      <c r="BG28" s="3">
        <f>IF( AND(BG$3 &gt;= Вводные!$F157, BG$3 &lt;= Вводные!$G157), 1, 0)</f>
        <v>1</v>
      </c>
      <c r="BH28" s="3">
        <f>IF( AND(BH$3 &gt;= Вводные!$F157, BH$3 &lt;= Вводные!$G157), 1, 0)</f>
        <v>1</v>
      </c>
      <c r="BI28" s="3">
        <f>IF( AND(BI$3 &gt;= Вводные!$F157, BI$3 &lt;= Вводные!$G157), 1, 0)</f>
        <v>1</v>
      </c>
      <c r="BJ28" s="3">
        <f>IF( AND(BJ$3 &gt;= Вводные!$F157, BJ$3 &lt;= Вводные!$G157), 1, 0)</f>
        <v>1</v>
      </c>
    </row>
    <row r="29" spans="4:62" x14ac:dyDescent="0.15">
      <c r="D29" s="11" t="str">
        <f>Вводные!$D$86</f>
        <v>Ежемесячный расход 17</v>
      </c>
      <c r="E29" s="12" t="s">
        <v>37</v>
      </c>
      <c r="J29" s="3">
        <f>IF( AND(J$3 &gt;= Вводные!$F158, J$3 &lt;= Вводные!$G158), 1, 0)</f>
        <v>1</v>
      </c>
      <c r="K29" s="3">
        <f>IF( AND(K$3 &gt;= Вводные!$F158, K$3 &lt;= Вводные!$G158), 1, 0)</f>
        <v>1</v>
      </c>
      <c r="L29" s="3">
        <f>IF( AND(L$3 &gt;= Вводные!$F158, L$3 &lt;= Вводные!$G158), 1, 0)</f>
        <v>1</v>
      </c>
      <c r="M29" s="3">
        <f>IF( AND(M$3 &gt;= Вводные!$F158, M$3 &lt;= Вводные!$G158), 1, 0)</f>
        <v>1</v>
      </c>
      <c r="N29" s="3">
        <f>IF( AND(N$3 &gt;= Вводные!$F158, N$3 &lt;= Вводные!$G158), 1, 0)</f>
        <v>1</v>
      </c>
      <c r="O29" s="3">
        <f>IF( AND(O$3 &gt;= Вводные!$F158, O$3 &lt;= Вводные!$G158), 1, 0)</f>
        <v>1</v>
      </c>
      <c r="P29" s="3">
        <f>IF( AND(P$3 &gt;= Вводные!$F158, P$3 &lt;= Вводные!$G158), 1, 0)</f>
        <v>1</v>
      </c>
      <c r="Q29" s="3">
        <f>IF( AND(Q$3 &gt;= Вводные!$F158, Q$3 &lt;= Вводные!$G158), 1, 0)</f>
        <v>1</v>
      </c>
      <c r="R29" s="3">
        <f>IF( AND(R$3 &gt;= Вводные!$F158, R$3 &lt;= Вводные!$G158), 1, 0)</f>
        <v>1</v>
      </c>
      <c r="S29" s="3">
        <f>IF( AND(S$3 &gt;= Вводные!$F158, S$3 &lt;= Вводные!$G158), 1, 0)</f>
        <v>1</v>
      </c>
      <c r="T29" s="3">
        <f>IF( AND(T$3 &gt;= Вводные!$F158, T$3 &lt;= Вводные!$G158), 1, 0)</f>
        <v>1</v>
      </c>
      <c r="U29" s="3">
        <f>IF( AND(U$3 &gt;= Вводные!$F158, U$3 &lt;= Вводные!$G158), 1, 0)</f>
        <v>1</v>
      </c>
      <c r="V29" s="3">
        <f>IF( AND(V$3 &gt;= Вводные!$F158, V$3 &lt;= Вводные!$G158), 1, 0)</f>
        <v>1</v>
      </c>
      <c r="W29" s="3">
        <f>IF( AND(W$3 &gt;= Вводные!$F158, W$3 &lt;= Вводные!$G158), 1, 0)</f>
        <v>1</v>
      </c>
      <c r="X29" s="3">
        <f>IF( AND(X$3 &gt;= Вводные!$F158, X$3 &lt;= Вводные!$G158), 1, 0)</f>
        <v>1</v>
      </c>
      <c r="Y29" s="3">
        <f>IF( AND(Y$3 &gt;= Вводные!$F158, Y$3 &lt;= Вводные!$G158), 1, 0)</f>
        <v>1</v>
      </c>
      <c r="Z29" s="3">
        <f>IF( AND(Z$3 &gt;= Вводные!$F158, Z$3 &lt;= Вводные!$G158), 1, 0)</f>
        <v>1</v>
      </c>
      <c r="AA29" s="3">
        <f>IF( AND(AA$3 &gt;= Вводные!$F158, AA$3 &lt;= Вводные!$G158), 1, 0)</f>
        <v>1</v>
      </c>
      <c r="AB29" s="3">
        <f>IF( AND(AB$3 &gt;= Вводные!$F158, AB$3 &lt;= Вводные!$G158), 1, 0)</f>
        <v>1</v>
      </c>
      <c r="AC29" s="3">
        <f>IF( AND(AC$3 &gt;= Вводные!$F158, AC$3 &lt;= Вводные!$G158), 1, 0)</f>
        <v>1</v>
      </c>
      <c r="AD29" s="3">
        <f>IF( AND(AD$3 &gt;= Вводные!$F158, AD$3 &lt;= Вводные!$G158), 1, 0)</f>
        <v>1</v>
      </c>
      <c r="AE29" s="3">
        <f>IF( AND(AE$3 &gt;= Вводные!$F158, AE$3 &lt;= Вводные!$G158), 1, 0)</f>
        <v>1</v>
      </c>
      <c r="AF29" s="3">
        <f>IF( AND(AF$3 &gt;= Вводные!$F158, AF$3 &lt;= Вводные!$G158), 1, 0)</f>
        <v>1</v>
      </c>
      <c r="AG29" s="3">
        <f>IF( AND(AG$3 &gt;= Вводные!$F158, AG$3 &lt;= Вводные!$G158), 1, 0)</f>
        <v>1</v>
      </c>
      <c r="AH29" s="3">
        <f>IF( AND(AH$3 &gt;= Вводные!$F158, AH$3 &lt;= Вводные!$G158), 1, 0)</f>
        <v>1</v>
      </c>
      <c r="AI29" s="3">
        <f>IF( AND(AI$3 &gt;= Вводные!$F158, AI$3 &lt;= Вводные!$G158), 1, 0)</f>
        <v>1</v>
      </c>
      <c r="AJ29" s="3">
        <f>IF( AND(AJ$3 &gt;= Вводные!$F158, AJ$3 &lt;= Вводные!$G158), 1, 0)</f>
        <v>1</v>
      </c>
      <c r="AK29" s="3">
        <f>IF( AND(AK$3 &gt;= Вводные!$F158, AK$3 &lt;= Вводные!$G158), 1, 0)</f>
        <v>1</v>
      </c>
      <c r="AL29" s="3">
        <f>IF( AND(AL$3 &gt;= Вводные!$F158, AL$3 &lt;= Вводные!$G158), 1, 0)</f>
        <v>1</v>
      </c>
      <c r="AM29" s="3">
        <f>IF( AND(AM$3 &gt;= Вводные!$F158, AM$3 &lt;= Вводные!$G158), 1, 0)</f>
        <v>1</v>
      </c>
      <c r="AN29" s="3">
        <f>IF( AND(AN$3 &gt;= Вводные!$F158, AN$3 &lt;= Вводные!$G158), 1, 0)</f>
        <v>1</v>
      </c>
      <c r="AO29" s="3">
        <f>IF( AND(AO$3 &gt;= Вводные!$F158, AO$3 &lt;= Вводные!$G158), 1, 0)</f>
        <v>1</v>
      </c>
      <c r="AP29" s="3">
        <f>IF( AND(AP$3 &gt;= Вводные!$F158, AP$3 &lt;= Вводные!$G158), 1, 0)</f>
        <v>1</v>
      </c>
      <c r="AQ29" s="3">
        <f>IF( AND(AQ$3 &gt;= Вводные!$F158, AQ$3 &lt;= Вводные!$G158), 1, 0)</f>
        <v>1</v>
      </c>
      <c r="AR29" s="3">
        <f>IF( AND(AR$3 &gt;= Вводные!$F158, AR$3 &lt;= Вводные!$G158), 1, 0)</f>
        <v>1</v>
      </c>
      <c r="AS29" s="3">
        <f>IF( AND(AS$3 &gt;= Вводные!$F158, AS$3 &lt;= Вводные!$G158), 1, 0)</f>
        <v>1</v>
      </c>
      <c r="AT29" s="3">
        <f>IF( AND(AT$3 &gt;= Вводные!$F158, AT$3 &lt;= Вводные!$G158), 1, 0)</f>
        <v>1</v>
      </c>
      <c r="AU29" s="3">
        <f>IF( AND(AU$3 &gt;= Вводные!$F158, AU$3 &lt;= Вводные!$G158), 1, 0)</f>
        <v>1</v>
      </c>
      <c r="AV29" s="3">
        <f>IF( AND(AV$3 &gt;= Вводные!$F158, AV$3 &lt;= Вводные!$G158), 1, 0)</f>
        <v>1</v>
      </c>
      <c r="AW29" s="3">
        <f>IF( AND(AW$3 &gt;= Вводные!$F158, AW$3 &lt;= Вводные!$G158), 1, 0)</f>
        <v>1</v>
      </c>
      <c r="AX29" s="3">
        <f>IF( AND(AX$3 &gt;= Вводные!$F158, AX$3 &lt;= Вводные!$G158), 1, 0)</f>
        <v>1</v>
      </c>
      <c r="AY29" s="3">
        <f>IF( AND(AY$3 &gt;= Вводные!$F158, AY$3 &lt;= Вводные!$G158), 1, 0)</f>
        <v>1</v>
      </c>
      <c r="AZ29" s="3">
        <f>IF( AND(AZ$3 &gt;= Вводные!$F158, AZ$3 &lt;= Вводные!$G158), 1, 0)</f>
        <v>1</v>
      </c>
      <c r="BA29" s="3">
        <f>IF( AND(BA$3 &gt;= Вводные!$F158, BA$3 &lt;= Вводные!$G158), 1, 0)</f>
        <v>1</v>
      </c>
      <c r="BB29" s="3">
        <f>IF( AND(BB$3 &gt;= Вводные!$F158, BB$3 &lt;= Вводные!$G158), 1, 0)</f>
        <v>1</v>
      </c>
      <c r="BC29" s="3">
        <f>IF( AND(BC$3 &gt;= Вводные!$F158, BC$3 &lt;= Вводные!$G158), 1, 0)</f>
        <v>1</v>
      </c>
      <c r="BD29" s="3">
        <f>IF( AND(BD$3 &gt;= Вводные!$F158, BD$3 &lt;= Вводные!$G158), 1, 0)</f>
        <v>1</v>
      </c>
      <c r="BE29" s="3">
        <f>IF( AND(BE$3 &gt;= Вводные!$F158, BE$3 &lt;= Вводные!$G158), 1, 0)</f>
        <v>1</v>
      </c>
      <c r="BF29" s="3">
        <f>IF( AND(BF$3 &gt;= Вводные!$F158, BF$3 &lt;= Вводные!$G158), 1, 0)</f>
        <v>1</v>
      </c>
      <c r="BG29" s="3">
        <f>IF( AND(BG$3 &gt;= Вводные!$F158, BG$3 &lt;= Вводные!$G158), 1, 0)</f>
        <v>1</v>
      </c>
      <c r="BH29" s="3">
        <f>IF( AND(BH$3 &gt;= Вводные!$F158, BH$3 &lt;= Вводные!$G158), 1, 0)</f>
        <v>1</v>
      </c>
      <c r="BI29" s="3">
        <f>IF( AND(BI$3 &gt;= Вводные!$F158, BI$3 &lt;= Вводные!$G158), 1, 0)</f>
        <v>1</v>
      </c>
      <c r="BJ29" s="3">
        <f>IF( AND(BJ$3 &gt;= Вводные!$F158, BJ$3 &lt;= Вводные!$G158), 1, 0)</f>
        <v>1</v>
      </c>
    </row>
    <row r="30" spans="4:62" x14ac:dyDescent="0.15">
      <c r="D30" s="11" t="str">
        <f>Вводные!$D$87</f>
        <v>Ежемесячный расход 18</v>
      </c>
      <c r="E30" s="12" t="s">
        <v>37</v>
      </c>
      <c r="J30" s="3">
        <f>IF( AND(J$3 &gt;= Вводные!$F159, J$3 &lt;= Вводные!$G159), 1, 0)</f>
        <v>1</v>
      </c>
      <c r="K30" s="3">
        <f>IF( AND(K$3 &gt;= Вводные!$F159, K$3 &lt;= Вводные!$G159), 1, 0)</f>
        <v>1</v>
      </c>
      <c r="L30" s="3">
        <f>IF( AND(L$3 &gt;= Вводные!$F159, L$3 &lt;= Вводные!$G159), 1, 0)</f>
        <v>1</v>
      </c>
      <c r="M30" s="3">
        <f>IF( AND(M$3 &gt;= Вводные!$F159, M$3 &lt;= Вводные!$G159), 1, 0)</f>
        <v>1</v>
      </c>
      <c r="N30" s="3">
        <f>IF( AND(N$3 &gt;= Вводные!$F159, N$3 &lt;= Вводные!$G159), 1, 0)</f>
        <v>1</v>
      </c>
      <c r="O30" s="3">
        <f>IF( AND(O$3 &gt;= Вводные!$F159, O$3 &lt;= Вводные!$G159), 1, 0)</f>
        <v>1</v>
      </c>
      <c r="P30" s="3">
        <f>IF( AND(P$3 &gt;= Вводные!$F159, P$3 &lt;= Вводные!$G159), 1, 0)</f>
        <v>1</v>
      </c>
      <c r="Q30" s="3">
        <f>IF( AND(Q$3 &gt;= Вводные!$F159, Q$3 &lt;= Вводные!$G159), 1, 0)</f>
        <v>1</v>
      </c>
      <c r="R30" s="3">
        <f>IF( AND(R$3 &gt;= Вводные!$F159, R$3 &lt;= Вводные!$G159), 1, 0)</f>
        <v>1</v>
      </c>
      <c r="S30" s="3">
        <f>IF( AND(S$3 &gt;= Вводные!$F159, S$3 &lt;= Вводные!$G159), 1, 0)</f>
        <v>1</v>
      </c>
      <c r="T30" s="3">
        <f>IF( AND(T$3 &gt;= Вводные!$F159, T$3 &lt;= Вводные!$G159), 1, 0)</f>
        <v>1</v>
      </c>
      <c r="U30" s="3">
        <f>IF( AND(U$3 &gt;= Вводные!$F159, U$3 &lt;= Вводные!$G159), 1, 0)</f>
        <v>1</v>
      </c>
      <c r="V30" s="3">
        <f>IF( AND(V$3 &gt;= Вводные!$F159, V$3 &lt;= Вводные!$G159), 1, 0)</f>
        <v>1</v>
      </c>
      <c r="W30" s="3">
        <f>IF( AND(W$3 &gt;= Вводные!$F159, W$3 &lt;= Вводные!$G159), 1, 0)</f>
        <v>1</v>
      </c>
      <c r="X30" s="3">
        <f>IF( AND(X$3 &gt;= Вводные!$F159, X$3 &lt;= Вводные!$G159), 1, 0)</f>
        <v>1</v>
      </c>
      <c r="Y30" s="3">
        <f>IF( AND(Y$3 &gt;= Вводные!$F159, Y$3 &lt;= Вводные!$G159), 1, 0)</f>
        <v>1</v>
      </c>
      <c r="Z30" s="3">
        <f>IF( AND(Z$3 &gt;= Вводные!$F159, Z$3 &lt;= Вводные!$G159), 1, 0)</f>
        <v>1</v>
      </c>
      <c r="AA30" s="3">
        <f>IF( AND(AA$3 &gt;= Вводные!$F159, AA$3 &lt;= Вводные!$G159), 1, 0)</f>
        <v>1</v>
      </c>
      <c r="AB30" s="3">
        <f>IF( AND(AB$3 &gt;= Вводные!$F159, AB$3 &lt;= Вводные!$G159), 1, 0)</f>
        <v>1</v>
      </c>
      <c r="AC30" s="3">
        <f>IF( AND(AC$3 &gt;= Вводные!$F159, AC$3 &lt;= Вводные!$G159), 1, 0)</f>
        <v>1</v>
      </c>
      <c r="AD30" s="3">
        <f>IF( AND(AD$3 &gt;= Вводные!$F159, AD$3 &lt;= Вводные!$G159), 1, 0)</f>
        <v>1</v>
      </c>
      <c r="AE30" s="3">
        <f>IF( AND(AE$3 &gt;= Вводные!$F159, AE$3 &lt;= Вводные!$G159), 1, 0)</f>
        <v>1</v>
      </c>
      <c r="AF30" s="3">
        <f>IF( AND(AF$3 &gt;= Вводные!$F159, AF$3 &lt;= Вводные!$G159), 1, 0)</f>
        <v>1</v>
      </c>
      <c r="AG30" s="3">
        <f>IF( AND(AG$3 &gt;= Вводные!$F159, AG$3 &lt;= Вводные!$G159), 1, 0)</f>
        <v>1</v>
      </c>
      <c r="AH30" s="3">
        <f>IF( AND(AH$3 &gt;= Вводные!$F159, AH$3 &lt;= Вводные!$G159), 1, 0)</f>
        <v>1</v>
      </c>
      <c r="AI30" s="3">
        <f>IF( AND(AI$3 &gt;= Вводные!$F159, AI$3 &lt;= Вводные!$G159), 1, 0)</f>
        <v>1</v>
      </c>
      <c r="AJ30" s="3">
        <f>IF( AND(AJ$3 &gt;= Вводные!$F159, AJ$3 &lt;= Вводные!$G159), 1, 0)</f>
        <v>1</v>
      </c>
      <c r="AK30" s="3">
        <f>IF( AND(AK$3 &gt;= Вводные!$F159, AK$3 &lt;= Вводные!$G159), 1, 0)</f>
        <v>1</v>
      </c>
      <c r="AL30" s="3">
        <f>IF( AND(AL$3 &gt;= Вводные!$F159, AL$3 &lt;= Вводные!$G159), 1, 0)</f>
        <v>1</v>
      </c>
      <c r="AM30" s="3">
        <f>IF( AND(AM$3 &gt;= Вводные!$F159, AM$3 &lt;= Вводные!$G159), 1, 0)</f>
        <v>1</v>
      </c>
      <c r="AN30" s="3">
        <f>IF( AND(AN$3 &gt;= Вводные!$F159, AN$3 &lt;= Вводные!$G159), 1, 0)</f>
        <v>1</v>
      </c>
      <c r="AO30" s="3">
        <f>IF( AND(AO$3 &gt;= Вводные!$F159, AO$3 &lt;= Вводные!$G159), 1, 0)</f>
        <v>1</v>
      </c>
      <c r="AP30" s="3">
        <f>IF( AND(AP$3 &gt;= Вводные!$F159, AP$3 &lt;= Вводные!$G159), 1, 0)</f>
        <v>1</v>
      </c>
      <c r="AQ30" s="3">
        <f>IF( AND(AQ$3 &gt;= Вводные!$F159, AQ$3 &lt;= Вводные!$G159), 1, 0)</f>
        <v>1</v>
      </c>
      <c r="AR30" s="3">
        <f>IF( AND(AR$3 &gt;= Вводные!$F159, AR$3 &lt;= Вводные!$G159), 1, 0)</f>
        <v>1</v>
      </c>
      <c r="AS30" s="3">
        <f>IF( AND(AS$3 &gt;= Вводные!$F159, AS$3 &lt;= Вводные!$G159), 1, 0)</f>
        <v>1</v>
      </c>
      <c r="AT30" s="3">
        <f>IF( AND(AT$3 &gt;= Вводные!$F159, AT$3 &lt;= Вводные!$G159), 1, 0)</f>
        <v>1</v>
      </c>
      <c r="AU30" s="3">
        <f>IF( AND(AU$3 &gt;= Вводные!$F159, AU$3 &lt;= Вводные!$G159), 1, 0)</f>
        <v>1</v>
      </c>
      <c r="AV30" s="3">
        <f>IF( AND(AV$3 &gt;= Вводные!$F159, AV$3 &lt;= Вводные!$G159), 1, 0)</f>
        <v>1</v>
      </c>
      <c r="AW30" s="3">
        <f>IF( AND(AW$3 &gt;= Вводные!$F159, AW$3 &lt;= Вводные!$G159), 1, 0)</f>
        <v>1</v>
      </c>
      <c r="AX30" s="3">
        <f>IF( AND(AX$3 &gt;= Вводные!$F159, AX$3 &lt;= Вводные!$G159), 1, 0)</f>
        <v>1</v>
      </c>
      <c r="AY30" s="3">
        <f>IF( AND(AY$3 &gt;= Вводные!$F159, AY$3 &lt;= Вводные!$G159), 1, 0)</f>
        <v>1</v>
      </c>
      <c r="AZ30" s="3">
        <f>IF( AND(AZ$3 &gt;= Вводные!$F159, AZ$3 &lt;= Вводные!$G159), 1, 0)</f>
        <v>1</v>
      </c>
      <c r="BA30" s="3">
        <f>IF( AND(BA$3 &gt;= Вводные!$F159, BA$3 &lt;= Вводные!$G159), 1, 0)</f>
        <v>1</v>
      </c>
      <c r="BB30" s="3">
        <f>IF( AND(BB$3 &gt;= Вводные!$F159, BB$3 &lt;= Вводные!$G159), 1, 0)</f>
        <v>1</v>
      </c>
      <c r="BC30" s="3">
        <f>IF( AND(BC$3 &gt;= Вводные!$F159, BC$3 &lt;= Вводные!$G159), 1, 0)</f>
        <v>1</v>
      </c>
      <c r="BD30" s="3">
        <f>IF( AND(BD$3 &gt;= Вводные!$F159, BD$3 &lt;= Вводные!$G159), 1, 0)</f>
        <v>1</v>
      </c>
      <c r="BE30" s="3">
        <f>IF( AND(BE$3 &gt;= Вводные!$F159, BE$3 &lt;= Вводные!$G159), 1, 0)</f>
        <v>1</v>
      </c>
      <c r="BF30" s="3">
        <f>IF( AND(BF$3 &gt;= Вводные!$F159, BF$3 &lt;= Вводные!$G159), 1, 0)</f>
        <v>1</v>
      </c>
      <c r="BG30" s="3">
        <f>IF( AND(BG$3 &gt;= Вводные!$F159, BG$3 &lt;= Вводные!$G159), 1, 0)</f>
        <v>1</v>
      </c>
      <c r="BH30" s="3">
        <f>IF( AND(BH$3 &gt;= Вводные!$F159, BH$3 &lt;= Вводные!$G159), 1, 0)</f>
        <v>1</v>
      </c>
      <c r="BI30" s="3">
        <f>IF( AND(BI$3 &gt;= Вводные!$F159, BI$3 &lt;= Вводные!$G159), 1, 0)</f>
        <v>1</v>
      </c>
      <c r="BJ30" s="3">
        <f>IF( AND(BJ$3 &gt;= Вводные!$F159, BJ$3 &lt;= Вводные!$G159), 1, 0)</f>
        <v>1</v>
      </c>
    </row>
    <row r="31" spans="4:62" x14ac:dyDescent="0.15">
      <c r="D31" s="11" t="str">
        <f>Вводные!$D$88</f>
        <v>Ежемесячный расход 19</v>
      </c>
      <c r="E31" s="12" t="s">
        <v>37</v>
      </c>
      <c r="J31" s="3">
        <f>IF( AND(J$3 &gt;= Вводные!$F160, J$3 &lt;= Вводные!$G160), 1, 0)</f>
        <v>1</v>
      </c>
      <c r="K31" s="3">
        <f>IF( AND(K$3 &gt;= Вводные!$F160, K$3 &lt;= Вводные!$G160), 1, 0)</f>
        <v>1</v>
      </c>
      <c r="L31" s="3">
        <f>IF( AND(L$3 &gt;= Вводные!$F160, L$3 &lt;= Вводные!$G160), 1, 0)</f>
        <v>1</v>
      </c>
      <c r="M31" s="3">
        <f>IF( AND(M$3 &gt;= Вводные!$F160, M$3 &lt;= Вводные!$G160), 1, 0)</f>
        <v>1</v>
      </c>
      <c r="N31" s="3">
        <f>IF( AND(N$3 &gt;= Вводные!$F160, N$3 &lt;= Вводные!$G160), 1, 0)</f>
        <v>1</v>
      </c>
      <c r="O31" s="3">
        <f>IF( AND(O$3 &gt;= Вводные!$F160, O$3 &lt;= Вводные!$G160), 1, 0)</f>
        <v>1</v>
      </c>
      <c r="P31" s="3">
        <f>IF( AND(P$3 &gt;= Вводные!$F160, P$3 &lt;= Вводные!$G160), 1, 0)</f>
        <v>1</v>
      </c>
      <c r="Q31" s="3">
        <f>IF( AND(Q$3 &gt;= Вводные!$F160, Q$3 &lt;= Вводные!$G160), 1, 0)</f>
        <v>1</v>
      </c>
      <c r="R31" s="3">
        <f>IF( AND(R$3 &gt;= Вводные!$F160, R$3 &lt;= Вводные!$G160), 1, 0)</f>
        <v>1</v>
      </c>
      <c r="S31" s="3">
        <f>IF( AND(S$3 &gt;= Вводные!$F160, S$3 &lt;= Вводные!$G160), 1, 0)</f>
        <v>1</v>
      </c>
      <c r="T31" s="3">
        <f>IF( AND(T$3 &gt;= Вводные!$F160, T$3 &lt;= Вводные!$G160), 1, 0)</f>
        <v>1</v>
      </c>
      <c r="U31" s="3">
        <f>IF( AND(U$3 &gt;= Вводные!$F160, U$3 &lt;= Вводные!$G160), 1, 0)</f>
        <v>1</v>
      </c>
      <c r="V31" s="3">
        <f>IF( AND(V$3 &gt;= Вводные!$F160, V$3 &lt;= Вводные!$G160), 1, 0)</f>
        <v>1</v>
      </c>
      <c r="W31" s="3">
        <f>IF( AND(W$3 &gt;= Вводные!$F160, W$3 &lt;= Вводные!$G160), 1, 0)</f>
        <v>1</v>
      </c>
      <c r="X31" s="3">
        <f>IF( AND(X$3 &gt;= Вводные!$F160, X$3 &lt;= Вводные!$G160), 1, 0)</f>
        <v>1</v>
      </c>
      <c r="Y31" s="3">
        <f>IF( AND(Y$3 &gt;= Вводные!$F160, Y$3 &lt;= Вводные!$G160), 1, 0)</f>
        <v>1</v>
      </c>
      <c r="Z31" s="3">
        <f>IF( AND(Z$3 &gt;= Вводные!$F160, Z$3 &lt;= Вводные!$G160), 1, 0)</f>
        <v>1</v>
      </c>
      <c r="AA31" s="3">
        <f>IF( AND(AA$3 &gt;= Вводные!$F160, AA$3 &lt;= Вводные!$G160), 1, 0)</f>
        <v>1</v>
      </c>
      <c r="AB31" s="3">
        <f>IF( AND(AB$3 &gt;= Вводные!$F160, AB$3 &lt;= Вводные!$G160), 1, 0)</f>
        <v>1</v>
      </c>
      <c r="AC31" s="3">
        <f>IF( AND(AC$3 &gt;= Вводные!$F160, AC$3 &lt;= Вводные!$G160), 1, 0)</f>
        <v>1</v>
      </c>
      <c r="AD31" s="3">
        <f>IF( AND(AD$3 &gt;= Вводные!$F160, AD$3 &lt;= Вводные!$G160), 1, 0)</f>
        <v>1</v>
      </c>
      <c r="AE31" s="3">
        <f>IF( AND(AE$3 &gt;= Вводные!$F160, AE$3 &lt;= Вводные!$G160), 1, 0)</f>
        <v>1</v>
      </c>
      <c r="AF31" s="3">
        <f>IF( AND(AF$3 &gt;= Вводные!$F160, AF$3 &lt;= Вводные!$G160), 1, 0)</f>
        <v>1</v>
      </c>
      <c r="AG31" s="3">
        <f>IF( AND(AG$3 &gt;= Вводные!$F160, AG$3 &lt;= Вводные!$G160), 1, 0)</f>
        <v>1</v>
      </c>
      <c r="AH31" s="3">
        <f>IF( AND(AH$3 &gt;= Вводные!$F160, AH$3 &lt;= Вводные!$G160), 1, 0)</f>
        <v>1</v>
      </c>
      <c r="AI31" s="3">
        <f>IF( AND(AI$3 &gt;= Вводные!$F160, AI$3 &lt;= Вводные!$G160), 1, 0)</f>
        <v>1</v>
      </c>
      <c r="AJ31" s="3">
        <f>IF( AND(AJ$3 &gt;= Вводные!$F160, AJ$3 &lt;= Вводные!$G160), 1, 0)</f>
        <v>1</v>
      </c>
      <c r="AK31" s="3">
        <f>IF( AND(AK$3 &gt;= Вводные!$F160, AK$3 &lt;= Вводные!$G160), 1, 0)</f>
        <v>1</v>
      </c>
      <c r="AL31" s="3">
        <f>IF( AND(AL$3 &gt;= Вводные!$F160, AL$3 &lt;= Вводные!$G160), 1, 0)</f>
        <v>1</v>
      </c>
      <c r="AM31" s="3">
        <f>IF( AND(AM$3 &gt;= Вводные!$F160, AM$3 &lt;= Вводные!$G160), 1, 0)</f>
        <v>1</v>
      </c>
      <c r="AN31" s="3">
        <f>IF( AND(AN$3 &gt;= Вводные!$F160, AN$3 &lt;= Вводные!$G160), 1, 0)</f>
        <v>1</v>
      </c>
      <c r="AO31" s="3">
        <f>IF( AND(AO$3 &gt;= Вводные!$F160, AO$3 &lt;= Вводные!$G160), 1, 0)</f>
        <v>1</v>
      </c>
      <c r="AP31" s="3">
        <f>IF( AND(AP$3 &gt;= Вводные!$F160, AP$3 &lt;= Вводные!$G160), 1, 0)</f>
        <v>1</v>
      </c>
      <c r="AQ31" s="3">
        <f>IF( AND(AQ$3 &gt;= Вводные!$F160, AQ$3 &lt;= Вводные!$G160), 1, 0)</f>
        <v>1</v>
      </c>
      <c r="AR31" s="3">
        <f>IF( AND(AR$3 &gt;= Вводные!$F160, AR$3 &lt;= Вводные!$G160), 1, 0)</f>
        <v>1</v>
      </c>
      <c r="AS31" s="3">
        <f>IF( AND(AS$3 &gt;= Вводные!$F160, AS$3 &lt;= Вводные!$G160), 1, 0)</f>
        <v>1</v>
      </c>
      <c r="AT31" s="3">
        <f>IF( AND(AT$3 &gt;= Вводные!$F160, AT$3 &lt;= Вводные!$G160), 1, 0)</f>
        <v>1</v>
      </c>
      <c r="AU31" s="3">
        <f>IF( AND(AU$3 &gt;= Вводные!$F160, AU$3 &lt;= Вводные!$G160), 1, 0)</f>
        <v>1</v>
      </c>
      <c r="AV31" s="3">
        <f>IF( AND(AV$3 &gt;= Вводные!$F160, AV$3 &lt;= Вводные!$G160), 1, 0)</f>
        <v>1</v>
      </c>
      <c r="AW31" s="3">
        <f>IF( AND(AW$3 &gt;= Вводные!$F160, AW$3 &lt;= Вводные!$G160), 1, 0)</f>
        <v>1</v>
      </c>
      <c r="AX31" s="3">
        <f>IF( AND(AX$3 &gt;= Вводные!$F160, AX$3 &lt;= Вводные!$G160), 1, 0)</f>
        <v>1</v>
      </c>
      <c r="AY31" s="3">
        <f>IF( AND(AY$3 &gt;= Вводные!$F160, AY$3 &lt;= Вводные!$G160), 1, 0)</f>
        <v>1</v>
      </c>
      <c r="AZ31" s="3">
        <f>IF( AND(AZ$3 &gt;= Вводные!$F160, AZ$3 &lt;= Вводные!$G160), 1, 0)</f>
        <v>1</v>
      </c>
      <c r="BA31" s="3">
        <f>IF( AND(BA$3 &gt;= Вводные!$F160, BA$3 &lt;= Вводные!$G160), 1, 0)</f>
        <v>1</v>
      </c>
      <c r="BB31" s="3">
        <f>IF( AND(BB$3 &gt;= Вводные!$F160, BB$3 &lt;= Вводные!$G160), 1, 0)</f>
        <v>1</v>
      </c>
      <c r="BC31" s="3">
        <f>IF( AND(BC$3 &gt;= Вводные!$F160, BC$3 &lt;= Вводные!$G160), 1, 0)</f>
        <v>1</v>
      </c>
      <c r="BD31" s="3">
        <f>IF( AND(BD$3 &gt;= Вводные!$F160, BD$3 &lt;= Вводные!$G160), 1, 0)</f>
        <v>1</v>
      </c>
      <c r="BE31" s="3">
        <f>IF( AND(BE$3 &gt;= Вводные!$F160, BE$3 &lt;= Вводные!$G160), 1, 0)</f>
        <v>1</v>
      </c>
      <c r="BF31" s="3">
        <f>IF( AND(BF$3 &gt;= Вводные!$F160, BF$3 &lt;= Вводные!$G160), 1, 0)</f>
        <v>1</v>
      </c>
      <c r="BG31" s="3">
        <f>IF( AND(BG$3 &gt;= Вводные!$F160, BG$3 &lt;= Вводные!$G160), 1, 0)</f>
        <v>1</v>
      </c>
      <c r="BH31" s="3">
        <f>IF( AND(BH$3 &gt;= Вводные!$F160, BH$3 &lt;= Вводные!$G160), 1, 0)</f>
        <v>1</v>
      </c>
      <c r="BI31" s="3">
        <f>IF( AND(BI$3 &gt;= Вводные!$F160, BI$3 &lt;= Вводные!$G160), 1, 0)</f>
        <v>1</v>
      </c>
      <c r="BJ31" s="3">
        <f>IF( AND(BJ$3 &gt;= Вводные!$F160, BJ$3 &lt;= Вводные!$G160), 1, 0)</f>
        <v>1</v>
      </c>
    </row>
    <row r="32" spans="4:62" x14ac:dyDescent="0.15">
      <c r="D32" s="11" t="str">
        <f>Вводные!$D$89</f>
        <v>Ежемесячный расход 20</v>
      </c>
      <c r="E32" s="12" t="s">
        <v>37</v>
      </c>
      <c r="J32" s="3">
        <f>IF( AND(J$3 &gt;= Вводные!$F161, J$3 &lt;= Вводные!$G161), 1, 0)</f>
        <v>1</v>
      </c>
      <c r="K32" s="3">
        <f>IF( AND(K$3 &gt;= Вводные!$F161, K$3 &lt;= Вводные!$G161), 1, 0)</f>
        <v>1</v>
      </c>
      <c r="L32" s="3">
        <f>IF( AND(L$3 &gt;= Вводные!$F161, L$3 &lt;= Вводные!$G161), 1, 0)</f>
        <v>1</v>
      </c>
      <c r="M32" s="3">
        <f>IF( AND(M$3 &gt;= Вводные!$F161, M$3 &lt;= Вводные!$G161), 1, 0)</f>
        <v>1</v>
      </c>
      <c r="N32" s="3">
        <f>IF( AND(N$3 &gt;= Вводные!$F161, N$3 &lt;= Вводные!$G161), 1, 0)</f>
        <v>1</v>
      </c>
      <c r="O32" s="3">
        <f>IF( AND(O$3 &gt;= Вводные!$F161, O$3 &lt;= Вводные!$G161), 1, 0)</f>
        <v>1</v>
      </c>
      <c r="P32" s="3">
        <f>IF( AND(P$3 &gt;= Вводные!$F161, P$3 &lt;= Вводные!$G161), 1, 0)</f>
        <v>1</v>
      </c>
      <c r="Q32" s="3">
        <f>IF( AND(Q$3 &gt;= Вводные!$F161, Q$3 &lt;= Вводные!$G161), 1, 0)</f>
        <v>1</v>
      </c>
      <c r="R32" s="3">
        <f>IF( AND(R$3 &gt;= Вводные!$F161, R$3 &lt;= Вводные!$G161), 1, 0)</f>
        <v>1</v>
      </c>
      <c r="S32" s="3">
        <f>IF( AND(S$3 &gt;= Вводные!$F161, S$3 &lt;= Вводные!$G161), 1, 0)</f>
        <v>1</v>
      </c>
      <c r="T32" s="3">
        <f>IF( AND(T$3 &gt;= Вводные!$F161, T$3 &lt;= Вводные!$G161), 1, 0)</f>
        <v>1</v>
      </c>
      <c r="U32" s="3">
        <f>IF( AND(U$3 &gt;= Вводные!$F161, U$3 &lt;= Вводные!$G161), 1, 0)</f>
        <v>1</v>
      </c>
      <c r="V32" s="3">
        <f>IF( AND(V$3 &gt;= Вводные!$F161, V$3 &lt;= Вводные!$G161), 1, 0)</f>
        <v>1</v>
      </c>
      <c r="W32" s="3">
        <f>IF( AND(W$3 &gt;= Вводные!$F161, W$3 &lt;= Вводные!$G161), 1, 0)</f>
        <v>1</v>
      </c>
      <c r="X32" s="3">
        <f>IF( AND(X$3 &gt;= Вводные!$F161, X$3 &lt;= Вводные!$G161), 1, 0)</f>
        <v>1</v>
      </c>
      <c r="Y32" s="3">
        <f>IF( AND(Y$3 &gt;= Вводные!$F161, Y$3 &lt;= Вводные!$G161), 1, 0)</f>
        <v>1</v>
      </c>
      <c r="Z32" s="3">
        <f>IF( AND(Z$3 &gt;= Вводные!$F161, Z$3 &lt;= Вводные!$G161), 1, 0)</f>
        <v>1</v>
      </c>
      <c r="AA32" s="3">
        <f>IF( AND(AA$3 &gt;= Вводные!$F161, AA$3 &lt;= Вводные!$G161), 1, 0)</f>
        <v>1</v>
      </c>
      <c r="AB32" s="3">
        <f>IF( AND(AB$3 &gt;= Вводные!$F161, AB$3 &lt;= Вводные!$G161), 1, 0)</f>
        <v>1</v>
      </c>
      <c r="AC32" s="3">
        <f>IF( AND(AC$3 &gt;= Вводные!$F161, AC$3 &lt;= Вводные!$G161), 1, 0)</f>
        <v>1</v>
      </c>
      <c r="AD32" s="3">
        <f>IF( AND(AD$3 &gt;= Вводные!$F161, AD$3 &lt;= Вводные!$G161), 1, 0)</f>
        <v>1</v>
      </c>
      <c r="AE32" s="3">
        <f>IF( AND(AE$3 &gt;= Вводные!$F161, AE$3 &lt;= Вводные!$G161), 1, 0)</f>
        <v>1</v>
      </c>
      <c r="AF32" s="3">
        <f>IF( AND(AF$3 &gt;= Вводные!$F161, AF$3 &lt;= Вводные!$G161), 1, 0)</f>
        <v>1</v>
      </c>
      <c r="AG32" s="3">
        <f>IF( AND(AG$3 &gt;= Вводные!$F161, AG$3 &lt;= Вводные!$G161), 1, 0)</f>
        <v>1</v>
      </c>
      <c r="AH32" s="3">
        <f>IF( AND(AH$3 &gt;= Вводные!$F161, AH$3 &lt;= Вводные!$G161), 1, 0)</f>
        <v>1</v>
      </c>
      <c r="AI32" s="3">
        <f>IF( AND(AI$3 &gt;= Вводные!$F161, AI$3 &lt;= Вводные!$G161), 1, 0)</f>
        <v>1</v>
      </c>
      <c r="AJ32" s="3">
        <f>IF( AND(AJ$3 &gt;= Вводные!$F161, AJ$3 &lt;= Вводные!$G161), 1, 0)</f>
        <v>1</v>
      </c>
      <c r="AK32" s="3">
        <f>IF( AND(AK$3 &gt;= Вводные!$F161, AK$3 &lt;= Вводные!$G161), 1, 0)</f>
        <v>1</v>
      </c>
      <c r="AL32" s="3">
        <f>IF( AND(AL$3 &gt;= Вводные!$F161, AL$3 &lt;= Вводные!$G161), 1, 0)</f>
        <v>1</v>
      </c>
      <c r="AM32" s="3">
        <f>IF( AND(AM$3 &gt;= Вводные!$F161, AM$3 &lt;= Вводные!$G161), 1, 0)</f>
        <v>1</v>
      </c>
      <c r="AN32" s="3">
        <f>IF( AND(AN$3 &gt;= Вводные!$F161, AN$3 &lt;= Вводные!$G161), 1, 0)</f>
        <v>1</v>
      </c>
      <c r="AO32" s="3">
        <f>IF( AND(AO$3 &gt;= Вводные!$F161, AO$3 &lt;= Вводные!$G161), 1, 0)</f>
        <v>1</v>
      </c>
      <c r="AP32" s="3">
        <f>IF( AND(AP$3 &gt;= Вводные!$F161, AP$3 &lt;= Вводные!$G161), 1, 0)</f>
        <v>1</v>
      </c>
      <c r="AQ32" s="3">
        <f>IF( AND(AQ$3 &gt;= Вводные!$F161, AQ$3 &lt;= Вводные!$G161), 1, 0)</f>
        <v>1</v>
      </c>
      <c r="AR32" s="3">
        <f>IF( AND(AR$3 &gt;= Вводные!$F161, AR$3 &lt;= Вводные!$G161), 1, 0)</f>
        <v>1</v>
      </c>
      <c r="AS32" s="3">
        <f>IF( AND(AS$3 &gt;= Вводные!$F161, AS$3 &lt;= Вводные!$G161), 1, 0)</f>
        <v>1</v>
      </c>
      <c r="AT32" s="3">
        <f>IF( AND(AT$3 &gt;= Вводные!$F161, AT$3 &lt;= Вводные!$G161), 1, 0)</f>
        <v>1</v>
      </c>
      <c r="AU32" s="3">
        <f>IF( AND(AU$3 &gt;= Вводные!$F161, AU$3 &lt;= Вводные!$G161), 1, 0)</f>
        <v>1</v>
      </c>
      <c r="AV32" s="3">
        <f>IF( AND(AV$3 &gt;= Вводные!$F161, AV$3 &lt;= Вводные!$G161), 1, 0)</f>
        <v>1</v>
      </c>
      <c r="AW32" s="3">
        <f>IF( AND(AW$3 &gt;= Вводные!$F161, AW$3 &lt;= Вводные!$G161), 1, 0)</f>
        <v>1</v>
      </c>
      <c r="AX32" s="3">
        <f>IF( AND(AX$3 &gt;= Вводные!$F161, AX$3 &lt;= Вводные!$G161), 1, 0)</f>
        <v>1</v>
      </c>
      <c r="AY32" s="3">
        <f>IF( AND(AY$3 &gt;= Вводные!$F161, AY$3 &lt;= Вводные!$G161), 1, 0)</f>
        <v>1</v>
      </c>
      <c r="AZ32" s="3">
        <f>IF( AND(AZ$3 &gt;= Вводные!$F161, AZ$3 &lt;= Вводные!$G161), 1, 0)</f>
        <v>1</v>
      </c>
      <c r="BA32" s="3">
        <f>IF( AND(BA$3 &gt;= Вводные!$F161, BA$3 &lt;= Вводные!$G161), 1, 0)</f>
        <v>1</v>
      </c>
      <c r="BB32" s="3">
        <f>IF( AND(BB$3 &gt;= Вводные!$F161, BB$3 &lt;= Вводные!$G161), 1, 0)</f>
        <v>1</v>
      </c>
      <c r="BC32" s="3">
        <f>IF( AND(BC$3 &gt;= Вводные!$F161, BC$3 &lt;= Вводные!$G161), 1, 0)</f>
        <v>1</v>
      </c>
      <c r="BD32" s="3">
        <f>IF( AND(BD$3 &gt;= Вводные!$F161, BD$3 &lt;= Вводные!$G161), 1, 0)</f>
        <v>1</v>
      </c>
      <c r="BE32" s="3">
        <f>IF( AND(BE$3 &gt;= Вводные!$F161, BE$3 &lt;= Вводные!$G161), 1, 0)</f>
        <v>1</v>
      </c>
      <c r="BF32" s="3">
        <f>IF( AND(BF$3 &gt;= Вводные!$F161, BF$3 &lt;= Вводные!$G161), 1, 0)</f>
        <v>1</v>
      </c>
      <c r="BG32" s="3">
        <f>IF( AND(BG$3 &gt;= Вводные!$F161, BG$3 &lt;= Вводные!$G161), 1, 0)</f>
        <v>1</v>
      </c>
      <c r="BH32" s="3">
        <f>IF( AND(BH$3 &gt;= Вводные!$F161, BH$3 &lt;= Вводные!$G161), 1, 0)</f>
        <v>1</v>
      </c>
      <c r="BI32" s="3">
        <f>IF( AND(BI$3 &gt;= Вводные!$F161, BI$3 &lt;= Вводные!$G161), 1, 0)</f>
        <v>1</v>
      </c>
      <c r="BJ32" s="3">
        <f>IF( AND(BJ$3 &gt;= Вводные!$F161, BJ$3 &lt;= Вводные!$G161), 1, 0)</f>
        <v>1</v>
      </c>
    </row>
    <row r="33" spans="2:62" x14ac:dyDescent="0.15">
      <c r="E33" s="12"/>
    </row>
    <row r="34" spans="2:62" x14ac:dyDescent="0.15">
      <c r="D34" s="8" t="s">
        <v>17</v>
      </c>
      <c r="E34" s="15"/>
    </row>
    <row r="35" spans="2:62" x14ac:dyDescent="0.15">
      <c r="D35" s="11" t="str">
        <f>Вводные!$D$116</f>
        <v>Страховка</v>
      </c>
      <c r="E35" s="12" t="s">
        <v>37</v>
      </c>
      <c r="J35" s="3">
        <f>IF( AND(J$3 &gt;= Вводные!$F164, J$3 &lt;= Вводные!$G164), 1, 0)</f>
        <v>1</v>
      </c>
      <c r="K35" s="3">
        <f>IF( AND(K$3 &gt;= Вводные!$F164, K$3 &lt;= Вводные!$G164), 1, 0)</f>
        <v>1</v>
      </c>
      <c r="L35" s="3">
        <f>IF( AND(L$3 &gt;= Вводные!$F164, L$3 &lt;= Вводные!$G164), 1, 0)</f>
        <v>1</v>
      </c>
      <c r="M35" s="3">
        <f>IF( AND(M$3 &gt;= Вводные!$F164, M$3 &lt;= Вводные!$G164), 1, 0)</f>
        <v>1</v>
      </c>
      <c r="N35" s="3">
        <f>IF( AND(N$3 &gt;= Вводные!$F164, N$3 &lt;= Вводные!$G164), 1, 0)</f>
        <v>1</v>
      </c>
      <c r="O35" s="3">
        <f>IF( AND(O$3 &gt;= Вводные!$F164, O$3 &lt;= Вводные!$G164), 1, 0)</f>
        <v>1</v>
      </c>
      <c r="P35" s="3">
        <f>IF( AND(P$3 &gt;= Вводные!$F164, P$3 &lt;= Вводные!$G164), 1, 0)</f>
        <v>1</v>
      </c>
      <c r="Q35" s="3">
        <f>IF( AND(Q$3 &gt;= Вводные!$F164, Q$3 &lt;= Вводные!$G164), 1, 0)</f>
        <v>1</v>
      </c>
      <c r="R35" s="3">
        <f>IF( AND(R$3 &gt;= Вводные!$F164, R$3 &lt;= Вводные!$G164), 1, 0)</f>
        <v>1</v>
      </c>
      <c r="S35" s="3">
        <f>IF( AND(S$3 &gt;= Вводные!$F164, S$3 &lt;= Вводные!$G164), 1, 0)</f>
        <v>1</v>
      </c>
      <c r="T35" s="3">
        <f>IF( AND(T$3 &gt;= Вводные!$F164, T$3 &lt;= Вводные!$G164), 1, 0)</f>
        <v>1</v>
      </c>
      <c r="U35" s="3">
        <f>IF( AND(U$3 &gt;= Вводные!$F164, U$3 &lt;= Вводные!$G164), 1, 0)</f>
        <v>1</v>
      </c>
      <c r="V35" s="3">
        <f>IF( AND(V$3 &gt;= Вводные!$F164, V$3 &lt;= Вводные!$G164), 1, 0)</f>
        <v>1</v>
      </c>
      <c r="W35" s="3">
        <f>IF( AND(W$3 &gt;= Вводные!$F164, W$3 &lt;= Вводные!$G164), 1, 0)</f>
        <v>1</v>
      </c>
      <c r="X35" s="3">
        <f>IF( AND(X$3 &gt;= Вводные!$F164, X$3 &lt;= Вводные!$G164), 1, 0)</f>
        <v>1</v>
      </c>
      <c r="Y35" s="3">
        <f>IF( AND(Y$3 &gt;= Вводные!$F164, Y$3 &lt;= Вводные!$G164), 1, 0)</f>
        <v>1</v>
      </c>
      <c r="Z35" s="3">
        <f>IF( AND(Z$3 &gt;= Вводные!$F164, Z$3 &lt;= Вводные!$G164), 1, 0)</f>
        <v>1</v>
      </c>
      <c r="AA35" s="3">
        <f>IF( AND(AA$3 &gt;= Вводные!$F164, AA$3 &lt;= Вводные!$G164), 1, 0)</f>
        <v>1</v>
      </c>
      <c r="AB35" s="3">
        <f>IF( AND(AB$3 &gt;= Вводные!$F164, AB$3 &lt;= Вводные!$G164), 1, 0)</f>
        <v>1</v>
      </c>
      <c r="AC35" s="3">
        <f>IF( AND(AC$3 &gt;= Вводные!$F164, AC$3 &lt;= Вводные!$G164), 1, 0)</f>
        <v>1</v>
      </c>
      <c r="AD35" s="3">
        <f>IF( AND(AD$3 &gt;= Вводные!$F164, AD$3 &lt;= Вводные!$G164), 1, 0)</f>
        <v>1</v>
      </c>
      <c r="AE35" s="3">
        <f>IF( AND(AE$3 &gt;= Вводные!$F164, AE$3 &lt;= Вводные!$G164), 1, 0)</f>
        <v>1</v>
      </c>
      <c r="AF35" s="3">
        <f>IF( AND(AF$3 &gt;= Вводные!$F164, AF$3 &lt;= Вводные!$G164), 1, 0)</f>
        <v>1</v>
      </c>
      <c r="AG35" s="3">
        <f>IF( AND(AG$3 &gt;= Вводные!$F164, AG$3 &lt;= Вводные!$G164), 1, 0)</f>
        <v>1</v>
      </c>
      <c r="AH35" s="3">
        <f>IF( AND(AH$3 &gt;= Вводные!$F164, AH$3 &lt;= Вводные!$G164), 1, 0)</f>
        <v>1</v>
      </c>
      <c r="AI35" s="3">
        <f>IF( AND(AI$3 &gt;= Вводные!$F164, AI$3 &lt;= Вводные!$G164), 1, 0)</f>
        <v>1</v>
      </c>
      <c r="AJ35" s="3">
        <f>IF( AND(AJ$3 &gt;= Вводные!$F164, AJ$3 &lt;= Вводные!$G164), 1, 0)</f>
        <v>1</v>
      </c>
      <c r="AK35" s="3">
        <f>IF( AND(AK$3 &gt;= Вводные!$F164, AK$3 &lt;= Вводные!$G164), 1, 0)</f>
        <v>1</v>
      </c>
      <c r="AL35" s="3">
        <f>IF( AND(AL$3 &gt;= Вводные!$F164, AL$3 &lt;= Вводные!$G164), 1, 0)</f>
        <v>1</v>
      </c>
      <c r="AM35" s="3">
        <f>IF( AND(AM$3 &gt;= Вводные!$F164, AM$3 &lt;= Вводные!$G164), 1, 0)</f>
        <v>1</v>
      </c>
      <c r="AN35" s="3">
        <f>IF( AND(AN$3 &gt;= Вводные!$F164, AN$3 &lt;= Вводные!$G164), 1, 0)</f>
        <v>1</v>
      </c>
      <c r="AO35" s="3">
        <f>IF( AND(AO$3 &gt;= Вводные!$F164, AO$3 &lt;= Вводные!$G164), 1, 0)</f>
        <v>1</v>
      </c>
      <c r="AP35" s="3">
        <f>IF( AND(AP$3 &gt;= Вводные!$F164, AP$3 &lt;= Вводные!$G164), 1, 0)</f>
        <v>1</v>
      </c>
      <c r="AQ35" s="3">
        <f>IF( AND(AQ$3 &gt;= Вводные!$F164, AQ$3 &lt;= Вводные!$G164), 1, 0)</f>
        <v>1</v>
      </c>
      <c r="AR35" s="3">
        <f>IF( AND(AR$3 &gt;= Вводные!$F164, AR$3 &lt;= Вводные!$G164), 1, 0)</f>
        <v>1</v>
      </c>
      <c r="AS35" s="3">
        <f>IF( AND(AS$3 &gt;= Вводные!$F164, AS$3 &lt;= Вводные!$G164), 1, 0)</f>
        <v>1</v>
      </c>
      <c r="AT35" s="3">
        <f>IF( AND(AT$3 &gt;= Вводные!$F164, AT$3 &lt;= Вводные!$G164), 1, 0)</f>
        <v>1</v>
      </c>
      <c r="AU35" s="3">
        <f>IF( AND(AU$3 &gt;= Вводные!$F164, AU$3 &lt;= Вводные!$G164), 1, 0)</f>
        <v>1</v>
      </c>
      <c r="AV35" s="3">
        <f>IF( AND(AV$3 &gt;= Вводные!$F164, AV$3 &lt;= Вводные!$G164), 1, 0)</f>
        <v>1</v>
      </c>
      <c r="AW35" s="3">
        <f>IF( AND(AW$3 &gt;= Вводные!$F164, AW$3 &lt;= Вводные!$G164), 1, 0)</f>
        <v>1</v>
      </c>
      <c r="AX35" s="3">
        <f>IF( AND(AX$3 &gt;= Вводные!$F164, AX$3 &lt;= Вводные!$G164), 1, 0)</f>
        <v>1</v>
      </c>
      <c r="AY35" s="3">
        <f>IF( AND(AY$3 &gt;= Вводные!$F164, AY$3 &lt;= Вводные!$G164), 1, 0)</f>
        <v>1</v>
      </c>
      <c r="AZ35" s="3">
        <f>IF( AND(AZ$3 &gt;= Вводные!$F164, AZ$3 &lt;= Вводные!$G164), 1, 0)</f>
        <v>1</v>
      </c>
      <c r="BA35" s="3">
        <f>IF( AND(BA$3 &gt;= Вводные!$F164, BA$3 &lt;= Вводные!$G164), 1, 0)</f>
        <v>1</v>
      </c>
      <c r="BB35" s="3">
        <f>IF( AND(BB$3 &gt;= Вводные!$F164, BB$3 &lt;= Вводные!$G164), 1, 0)</f>
        <v>1</v>
      </c>
      <c r="BC35" s="3">
        <f>IF( AND(BC$3 &gt;= Вводные!$F164, BC$3 &lt;= Вводные!$G164), 1, 0)</f>
        <v>1</v>
      </c>
      <c r="BD35" s="3">
        <f>IF( AND(BD$3 &gt;= Вводные!$F164, BD$3 &lt;= Вводные!$G164), 1, 0)</f>
        <v>1</v>
      </c>
      <c r="BE35" s="3">
        <f>IF( AND(BE$3 &gt;= Вводные!$F164, BE$3 &lt;= Вводные!$G164), 1, 0)</f>
        <v>1</v>
      </c>
      <c r="BF35" s="3">
        <f>IF( AND(BF$3 &gt;= Вводные!$F164, BF$3 &lt;= Вводные!$G164), 1, 0)</f>
        <v>1</v>
      </c>
      <c r="BG35" s="3">
        <f>IF( AND(BG$3 &gt;= Вводные!$F164, BG$3 &lt;= Вводные!$G164), 1, 0)</f>
        <v>1</v>
      </c>
      <c r="BH35" s="3">
        <f>IF( AND(BH$3 &gt;= Вводные!$F164, BH$3 &lt;= Вводные!$G164), 1, 0)</f>
        <v>1</v>
      </c>
      <c r="BI35" s="3">
        <f>IF( AND(BI$3 &gt;= Вводные!$F164, BI$3 &lt;= Вводные!$G164), 1, 0)</f>
        <v>1</v>
      </c>
      <c r="BJ35" s="3">
        <f>IF( AND(BJ$3 &gt;= Вводные!$F164, BJ$3 &lt;= Вводные!$G164), 1, 0)</f>
        <v>1</v>
      </c>
    </row>
    <row r="36" spans="2:62" x14ac:dyDescent="0.15">
      <c r="D36" s="11" t="str">
        <f>Вводные!$D$117</f>
        <v>Детский сад / школа</v>
      </c>
      <c r="E36" s="12" t="s">
        <v>37</v>
      </c>
      <c r="J36" s="3">
        <f>IF( AND(J$3 &gt;= Вводные!$F165, J$3 &lt;= Вводные!$G165), 1, 0)</f>
        <v>1</v>
      </c>
      <c r="K36" s="3">
        <f>IF( AND(K$3 &gt;= Вводные!$F165, K$3 &lt;= Вводные!$G165), 1, 0)</f>
        <v>1</v>
      </c>
      <c r="L36" s="3">
        <f>IF( AND(L$3 &gt;= Вводные!$F165, L$3 &lt;= Вводные!$G165), 1, 0)</f>
        <v>1</v>
      </c>
      <c r="M36" s="3">
        <f>IF( AND(M$3 &gt;= Вводные!$F165, M$3 &lt;= Вводные!$G165), 1, 0)</f>
        <v>1</v>
      </c>
      <c r="N36" s="3">
        <f>IF( AND(N$3 &gt;= Вводные!$F165, N$3 &lt;= Вводные!$G165), 1, 0)</f>
        <v>1</v>
      </c>
      <c r="O36" s="3">
        <f>IF( AND(O$3 &gt;= Вводные!$F165, O$3 &lt;= Вводные!$G165), 1, 0)</f>
        <v>1</v>
      </c>
      <c r="P36" s="3">
        <f>IF( AND(P$3 &gt;= Вводные!$F165, P$3 &lt;= Вводные!$G165), 1, 0)</f>
        <v>1</v>
      </c>
      <c r="Q36" s="3">
        <f>IF( AND(Q$3 &gt;= Вводные!$F165, Q$3 &lt;= Вводные!$G165), 1, 0)</f>
        <v>1</v>
      </c>
      <c r="R36" s="3">
        <f>IF( AND(R$3 &gt;= Вводные!$F165, R$3 &lt;= Вводные!$G165), 1, 0)</f>
        <v>1</v>
      </c>
      <c r="S36" s="3">
        <f>IF( AND(S$3 &gt;= Вводные!$F165, S$3 &lt;= Вводные!$G165), 1, 0)</f>
        <v>1</v>
      </c>
      <c r="T36" s="3">
        <f>IF( AND(T$3 &gt;= Вводные!$F165, T$3 &lt;= Вводные!$G165), 1, 0)</f>
        <v>1</v>
      </c>
      <c r="U36" s="3">
        <f>IF( AND(U$3 &gt;= Вводные!$F165, U$3 &lt;= Вводные!$G165), 1, 0)</f>
        <v>1</v>
      </c>
      <c r="V36" s="3">
        <f>IF( AND(V$3 &gt;= Вводные!$F165, V$3 &lt;= Вводные!$G165), 1, 0)</f>
        <v>1</v>
      </c>
      <c r="W36" s="3">
        <f>IF( AND(W$3 &gt;= Вводные!$F165, W$3 &lt;= Вводные!$G165), 1, 0)</f>
        <v>1</v>
      </c>
      <c r="X36" s="3">
        <f>IF( AND(X$3 &gt;= Вводные!$F165, X$3 &lt;= Вводные!$G165), 1, 0)</f>
        <v>1</v>
      </c>
      <c r="Y36" s="3">
        <f>IF( AND(Y$3 &gt;= Вводные!$F165, Y$3 &lt;= Вводные!$G165), 1, 0)</f>
        <v>1</v>
      </c>
      <c r="Z36" s="3">
        <f>IF( AND(Z$3 &gt;= Вводные!$F165, Z$3 &lt;= Вводные!$G165), 1, 0)</f>
        <v>1</v>
      </c>
      <c r="AA36" s="3">
        <f>IF( AND(AA$3 &gt;= Вводные!$F165, AA$3 &lt;= Вводные!$G165), 1, 0)</f>
        <v>0</v>
      </c>
      <c r="AB36" s="3">
        <f>IF( AND(AB$3 &gt;= Вводные!$F165, AB$3 &lt;= Вводные!$G165), 1, 0)</f>
        <v>0</v>
      </c>
      <c r="AC36" s="3">
        <f>IF( AND(AC$3 &gt;= Вводные!$F165, AC$3 &lt;= Вводные!$G165), 1, 0)</f>
        <v>0</v>
      </c>
      <c r="AD36" s="3">
        <f>IF( AND(AD$3 &gt;= Вводные!$F165, AD$3 &lt;= Вводные!$G165), 1, 0)</f>
        <v>0</v>
      </c>
      <c r="AE36" s="3">
        <f>IF( AND(AE$3 &gt;= Вводные!$F165, AE$3 &lt;= Вводные!$G165), 1, 0)</f>
        <v>0</v>
      </c>
      <c r="AF36" s="3">
        <f>IF( AND(AF$3 &gt;= Вводные!$F165, AF$3 &lt;= Вводные!$G165), 1, 0)</f>
        <v>0</v>
      </c>
      <c r="AG36" s="3">
        <f>IF( AND(AG$3 &gt;= Вводные!$F165, AG$3 &lt;= Вводные!$G165), 1, 0)</f>
        <v>0</v>
      </c>
      <c r="AH36" s="3">
        <f>IF( AND(AH$3 &gt;= Вводные!$F165, AH$3 &lt;= Вводные!$G165), 1, 0)</f>
        <v>0</v>
      </c>
      <c r="AI36" s="3">
        <f>IF( AND(AI$3 &gt;= Вводные!$F165, AI$3 &lt;= Вводные!$G165), 1, 0)</f>
        <v>0</v>
      </c>
      <c r="AJ36" s="3">
        <f>IF( AND(AJ$3 &gt;= Вводные!$F165, AJ$3 &lt;= Вводные!$G165), 1, 0)</f>
        <v>0</v>
      </c>
      <c r="AK36" s="3">
        <f>IF( AND(AK$3 &gt;= Вводные!$F165, AK$3 &lt;= Вводные!$G165), 1, 0)</f>
        <v>0</v>
      </c>
      <c r="AL36" s="3">
        <f>IF( AND(AL$3 &gt;= Вводные!$F165, AL$3 &lt;= Вводные!$G165), 1, 0)</f>
        <v>0</v>
      </c>
      <c r="AM36" s="3">
        <f>IF( AND(AM$3 &gt;= Вводные!$F165, AM$3 &lt;= Вводные!$G165), 1, 0)</f>
        <v>0</v>
      </c>
      <c r="AN36" s="3">
        <f>IF( AND(AN$3 &gt;= Вводные!$F165, AN$3 &lt;= Вводные!$G165), 1, 0)</f>
        <v>0</v>
      </c>
      <c r="AO36" s="3">
        <f>IF( AND(AO$3 &gt;= Вводные!$F165, AO$3 &lt;= Вводные!$G165), 1, 0)</f>
        <v>0</v>
      </c>
      <c r="AP36" s="3">
        <f>IF( AND(AP$3 &gt;= Вводные!$F165, AP$3 &lt;= Вводные!$G165), 1, 0)</f>
        <v>0</v>
      </c>
      <c r="AQ36" s="3">
        <f>IF( AND(AQ$3 &gt;= Вводные!$F165, AQ$3 &lt;= Вводные!$G165), 1, 0)</f>
        <v>0</v>
      </c>
      <c r="AR36" s="3">
        <f>IF( AND(AR$3 &gt;= Вводные!$F165, AR$3 &lt;= Вводные!$G165), 1, 0)</f>
        <v>0</v>
      </c>
      <c r="AS36" s="3">
        <f>IF( AND(AS$3 &gt;= Вводные!$F165, AS$3 &lt;= Вводные!$G165), 1, 0)</f>
        <v>0</v>
      </c>
      <c r="AT36" s="3">
        <f>IF( AND(AT$3 &gt;= Вводные!$F165, AT$3 &lt;= Вводные!$G165), 1, 0)</f>
        <v>0</v>
      </c>
      <c r="AU36" s="3">
        <f>IF( AND(AU$3 &gt;= Вводные!$F165, AU$3 &lt;= Вводные!$G165), 1, 0)</f>
        <v>0</v>
      </c>
      <c r="AV36" s="3">
        <f>IF( AND(AV$3 &gt;= Вводные!$F165, AV$3 &lt;= Вводные!$G165), 1, 0)</f>
        <v>0</v>
      </c>
      <c r="AW36" s="3">
        <f>IF( AND(AW$3 &gt;= Вводные!$F165, AW$3 &lt;= Вводные!$G165), 1, 0)</f>
        <v>0</v>
      </c>
      <c r="AX36" s="3">
        <f>IF( AND(AX$3 &gt;= Вводные!$F165, AX$3 &lt;= Вводные!$G165), 1, 0)</f>
        <v>0</v>
      </c>
      <c r="AY36" s="3">
        <f>IF( AND(AY$3 &gt;= Вводные!$F165, AY$3 &lt;= Вводные!$G165), 1, 0)</f>
        <v>0</v>
      </c>
      <c r="AZ36" s="3">
        <f>IF( AND(AZ$3 &gt;= Вводные!$F165, AZ$3 &lt;= Вводные!$G165), 1, 0)</f>
        <v>0</v>
      </c>
      <c r="BA36" s="3">
        <f>IF( AND(BA$3 &gt;= Вводные!$F165, BA$3 &lt;= Вводные!$G165), 1, 0)</f>
        <v>0</v>
      </c>
      <c r="BB36" s="3">
        <f>IF( AND(BB$3 &gt;= Вводные!$F165, BB$3 &lt;= Вводные!$G165), 1, 0)</f>
        <v>0</v>
      </c>
      <c r="BC36" s="3">
        <f>IF( AND(BC$3 &gt;= Вводные!$F165, BC$3 &lt;= Вводные!$G165), 1, 0)</f>
        <v>0</v>
      </c>
      <c r="BD36" s="3">
        <f>IF( AND(BD$3 &gt;= Вводные!$F165, BD$3 &lt;= Вводные!$G165), 1, 0)</f>
        <v>0</v>
      </c>
      <c r="BE36" s="3">
        <f>IF( AND(BE$3 &gt;= Вводные!$F165, BE$3 &lt;= Вводные!$G165), 1, 0)</f>
        <v>0</v>
      </c>
      <c r="BF36" s="3">
        <f>IF( AND(BF$3 &gt;= Вводные!$F165, BF$3 &lt;= Вводные!$G165), 1, 0)</f>
        <v>0</v>
      </c>
      <c r="BG36" s="3">
        <f>IF( AND(BG$3 &gt;= Вводные!$F165, BG$3 &lt;= Вводные!$G165), 1, 0)</f>
        <v>0</v>
      </c>
      <c r="BH36" s="3">
        <f>IF( AND(BH$3 &gt;= Вводные!$F165, BH$3 &lt;= Вводные!$G165), 1, 0)</f>
        <v>0</v>
      </c>
      <c r="BI36" s="3">
        <f>IF( AND(BI$3 &gt;= Вводные!$F165, BI$3 &lt;= Вводные!$G165), 1, 0)</f>
        <v>0</v>
      </c>
      <c r="BJ36" s="3">
        <f>IF( AND(BJ$3 &gt;= Вводные!$F165, BJ$3 &lt;= Вводные!$G165), 1, 0)</f>
        <v>0</v>
      </c>
    </row>
    <row r="37" spans="2:62" x14ac:dyDescent="0.15">
      <c r="D37" s="11" t="str">
        <f>Вводные!$D$118</f>
        <v>Страховка по ипотеке</v>
      </c>
      <c r="E37" s="12" t="s">
        <v>37</v>
      </c>
      <c r="J37" s="3">
        <f>IF( AND(J$3 &gt;= Вводные!$F166, J$3 &lt;= Вводные!$G166), 1, 0)</f>
        <v>1</v>
      </c>
      <c r="K37" s="3">
        <f>IF( AND(K$3 &gt;= Вводные!$F166, K$3 &lt;= Вводные!$G166), 1, 0)</f>
        <v>1</v>
      </c>
      <c r="L37" s="3">
        <f>IF( AND(L$3 &gt;= Вводные!$F166, L$3 &lt;= Вводные!$G166), 1, 0)</f>
        <v>1</v>
      </c>
      <c r="M37" s="3">
        <f>IF( AND(M$3 &gt;= Вводные!$F166, M$3 &lt;= Вводные!$G166), 1, 0)</f>
        <v>1</v>
      </c>
      <c r="N37" s="3">
        <f>IF( AND(N$3 &gt;= Вводные!$F166, N$3 &lt;= Вводные!$G166), 1, 0)</f>
        <v>1</v>
      </c>
      <c r="O37" s="3">
        <f>IF( AND(O$3 &gt;= Вводные!$F166, O$3 &lt;= Вводные!$G166), 1, 0)</f>
        <v>1</v>
      </c>
      <c r="P37" s="3">
        <f>IF( AND(P$3 &gt;= Вводные!$F166, P$3 &lt;= Вводные!$G166), 1, 0)</f>
        <v>1</v>
      </c>
      <c r="Q37" s="3">
        <f>IF( AND(Q$3 &gt;= Вводные!$F166, Q$3 &lt;= Вводные!$G166), 1, 0)</f>
        <v>1</v>
      </c>
      <c r="R37" s="3">
        <f>IF( AND(R$3 &gt;= Вводные!$F166, R$3 &lt;= Вводные!$G166), 1, 0)</f>
        <v>1</v>
      </c>
      <c r="S37" s="3">
        <f>IF( AND(S$3 &gt;= Вводные!$F166, S$3 &lt;= Вводные!$G166), 1, 0)</f>
        <v>1</v>
      </c>
      <c r="T37" s="3">
        <f>IF( AND(T$3 &gt;= Вводные!$F166, T$3 &lt;= Вводные!$G166), 1, 0)</f>
        <v>1</v>
      </c>
      <c r="U37" s="3">
        <f>IF( AND(U$3 &gt;= Вводные!$F166, U$3 &lt;= Вводные!$G166), 1, 0)</f>
        <v>1</v>
      </c>
      <c r="V37" s="3">
        <f>IF( AND(V$3 &gt;= Вводные!$F166, V$3 &lt;= Вводные!$G166), 1, 0)</f>
        <v>1</v>
      </c>
      <c r="W37" s="3">
        <f>IF( AND(W$3 &gt;= Вводные!$F166, W$3 &lt;= Вводные!$G166), 1, 0)</f>
        <v>1</v>
      </c>
      <c r="X37" s="3">
        <f>IF( AND(X$3 &gt;= Вводные!$F166, X$3 &lt;= Вводные!$G166), 1, 0)</f>
        <v>1</v>
      </c>
      <c r="Y37" s="3">
        <f>IF( AND(Y$3 &gt;= Вводные!$F166, Y$3 &lt;= Вводные!$G166), 1, 0)</f>
        <v>1</v>
      </c>
      <c r="Z37" s="3">
        <f>IF( AND(Z$3 &gt;= Вводные!$F166, Z$3 &lt;= Вводные!$G166), 1, 0)</f>
        <v>1</v>
      </c>
      <c r="AA37" s="3">
        <f>IF( AND(AA$3 &gt;= Вводные!$F166, AA$3 &lt;= Вводные!$G166), 1, 0)</f>
        <v>1</v>
      </c>
      <c r="AB37" s="3">
        <f>IF( AND(AB$3 &gt;= Вводные!$F166, AB$3 &lt;= Вводные!$G166), 1, 0)</f>
        <v>1</v>
      </c>
      <c r="AC37" s="3">
        <f>IF( AND(AC$3 &gt;= Вводные!$F166, AC$3 &lt;= Вводные!$G166), 1, 0)</f>
        <v>1</v>
      </c>
      <c r="AD37" s="3">
        <f>IF( AND(AD$3 &gt;= Вводные!$F166, AD$3 &lt;= Вводные!$G166), 1, 0)</f>
        <v>1</v>
      </c>
      <c r="AE37" s="3">
        <f>IF( AND(AE$3 &gt;= Вводные!$F166, AE$3 &lt;= Вводные!$G166), 1, 0)</f>
        <v>1</v>
      </c>
      <c r="AF37" s="3">
        <f>IF( AND(AF$3 &gt;= Вводные!$F166, AF$3 &lt;= Вводные!$G166), 1, 0)</f>
        <v>1</v>
      </c>
      <c r="AG37" s="3">
        <f>IF( AND(AG$3 &gt;= Вводные!$F166, AG$3 &lt;= Вводные!$G166), 1, 0)</f>
        <v>1</v>
      </c>
      <c r="AH37" s="3">
        <f>IF( AND(AH$3 &gt;= Вводные!$F166, AH$3 &lt;= Вводные!$G166), 1, 0)</f>
        <v>1</v>
      </c>
      <c r="AI37" s="3">
        <f>IF( AND(AI$3 &gt;= Вводные!$F166, AI$3 &lt;= Вводные!$G166), 1, 0)</f>
        <v>1</v>
      </c>
      <c r="AJ37" s="3">
        <f>IF( AND(AJ$3 &gt;= Вводные!$F166, AJ$3 &lt;= Вводные!$G166), 1, 0)</f>
        <v>1</v>
      </c>
      <c r="AK37" s="3">
        <f>IF( AND(AK$3 &gt;= Вводные!$F166, AK$3 &lt;= Вводные!$G166), 1, 0)</f>
        <v>0</v>
      </c>
      <c r="AL37" s="3">
        <f>IF( AND(AL$3 &gt;= Вводные!$F166, AL$3 &lt;= Вводные!$G166), 1, 0)</f>
        <v>0</v>
      </c>
      <c r="AM37" s="3">
        <f>IF( AND(AM$3 &gt;= Вводные!$F166, AM$3 &lt;= Вводные!$G166), 1, 0)</f>
        <v>0</v>
      </c>
      <c r="AN37" s="3">
        <f>IF( AND(AN$3 &gt;= Вводные!$F166, AN$3 &lt;= Вводные!$G166), 1, 0)</f>
        <v>0</v>
      </c>
      <c r="AO37" s="3">
        <f>IF( AND(AO$3 &gt;= Вводные!$F166, AO$3 &lt;= Вводные!$G166), 1, 0)</f>
        <v>0</v>
      </c>
      <c r="AP37" s="3">
        <f>IF( AND(AP$3 &gt;= Вводные!$F166, AP$3 &lt;= Вводные!$G166), 1, 0)</f>
        <v>0</v>
      </c>
      <c r="AQ37" s="3">
        <f>IF( AND(AQ$3 &gt;= Вводные!$F166, AQ$3 &lt;= Вводные!$G166), 1, 0)</f>
        <v>0</v>
      </c>
      <c r="AR37" s="3">
        <f>IF( AND(AR$3 &gt;= Вводные!$F166, AR$3 &lt;= Вводные!$G166), 1, 0)</f>
        <v>0</v>
      </c>
      <c r="AS37" s="3">
        <f>IF( AND(AS$3 &gt;= Вводные!$F166, AS$3 &lt;= Вводные!$G166), 1, 0)</f>
        <v>0</v>
      </c>
      <c r="AT37" s="3">
        <f>IF( AND(AT$3 &gt;= Вводные!$F166, AT$3 &lt;= Вводные!$G166), 1, 0)</f>
        <v>0</v>
      </c>
      <c r="AU37" s="3">
        <f>IF( AND(AU$3 &gt;= Вводные!$F166, AU$3 &lt;= Вводные!$G166), 1, 0)</f>
        <v>0</v>
      </c>
      <c r="AV37" s="3">
        <f>IF( AND(AV$3 &gt;= Вводные!$F166, AV$3 &lt;= Вводные!$G166), 1, 0)</f>
        <v>0</v>
      </c>
      <c r="AW37" s="3">
        <f>IF( AND(AW$3 &gt;= Вводные!$F166, AW$3 &lt;= Вводные!$G166), 1, 0)</f>
        <v>0</v>
      </c>
      <c r="AX37" s="3">
        <f>IF( AND(AX$3 &gt;= Вводные!$F166, AX$3 &lt;= Вводные!$G166), 1, 0)</f>
        <v>0</v>
      </c>
      <c r="AY37" s="3">
        <f>IF( AND(AY$3 &gt;= Вводные!$F166, AY$3 &lt;= Вводные!$G166), 1, 0)</f>
        <v>0</v>
      </c>
      <c r="AZ37" s="3">
        <f>IF( AND(AZ$3 &gt;= Вводные!$F166, AZ$3 &lt;= Вводные!$G166), 1, 0)</f>
        <v>0</v>
      </c>
      <c r="BA37" s="3">
        <f>IF( AND(BA$3 &gt;= Вводные!$F166, BA$3 &lt;= Вводные!$G166), 1, 0)</f>
        <v>0</v>
      </c>
      <c r="BB37" s="3">
        <f>IF( AND(BB$3 &gt;= Вводные!$F166, BB$3 &lt;= Вводные!$G166), 1, 0)</f>
        <v>0</v>
      </c>
      <c r="BC37" s="3">
        <f>IF( AND(BC$3 &gt;= Вводные!$F166, BC$3 &lt;= Вводные!$G166), 1, 0)</f>
        <v>0</v>
      </c>
      <c r="BD37" s="3">
        <f>IF( AND(BD$3 &gt;= Вводные!$F166, BD$3 &lt;= Вводные!$G166), 1, 0)</f>
        <v>0</v>
      </c>
      <c r="BE37" s="3">
        <f>IF( AND(BE$3 &gt;= Вводные!$F166, BE$3 &lt;= Вводные!$G166), 1, 0)</f>
        <v>0</v>
      </c>
      <c r="BF37" s="3">
        <f>IF( AND(BF$3 &gt;= Вводные!$F166, BF$3 &lt;= Вводные!$G166), 1, 0)</f>
        <v>0</v>
      </c>
      <c r="BG37" s="3">
        <f>IF( AND(BG$3 &gt;= Вводные!$F166, BG$3 &lt;= Вводные!$G166), 1, 0)</f>
        <v>0</v>
      </c>
      <c r="BH37" s="3">
        <f>IF( AND(BH$3 &gt;= Вводные!$F166, BH$3 &lt;= Вводные!$G166), 1, 0)</f>
        <v>0</v>
      </c>
      <c r="BI37" s="3">
        <f>IF( AND(BI$3 &gt;= Вводные!$F166, BI$3 &lt;= Вводные!$G166), 1, 0)</f>
        <v>0</v>
      </c>
      <c r="BJ37" s="3">
        <f>IF( AND(BJ$3 &gt;= Вводные!$F166, BJ$3 &lt;= Вводные!$G166), 1, 0)</f>
        <v>0</v>
      </c>
    </row>
    <row r="38" spans="2:62" x14ac:dyDescent="0.15">
      <c r="D38" s="11" t="str">
        <f>Вводные!$D$119</f>
        <v>Отпуск</v>
      </c>
      <c r="E38" s="12" t="s">
        <v>37</v>
      </c>
      <c r="J38" s="3">
        <f>IF( AND(J$3 &gt;= Вводные!$F167, J$3 &lt;= Вводные!$G167), 1, 0)</f>
        <v>1</v>
      </c>
      <c r="K38" s="3">
        <f>IF( AND(K$3 &gt;= Вводные!$F167, K$3 &lt;= Вводные!$G167), 1, 0)</f>
        <v>1</v>
      </c>
      <c r="L38" s="3">
        <f>IF( AND(L$3 &gt;= Вводные!$F167, L$3 &lt;= Вводные!$G167), 1, 0)</f>
        <v>1</v>
      </c>
      <c r="M38" s="3">
        <f>IF( AND(M$3 &gt;= Вводные!$F167, M$3 &lt;= Вводные!$G167), 1, 0)</f>
        <v>1</v>
      </c>
      <c r="N38" s="3">
        <f>IF( AND(N$3 &gt;= Вводные!$F167, N$3 &lt;= Вводные!$G167), 1, 0)</f>
        <v>1</v>
      </c>
      <c r="O38" s="3">
        <f>IF( AND(O$3 &gt;= Вводные!$F167, O$3 &lt;= Вводные!$G167), 1, 0)</f>
        <v>1</v>
      </c>
      <c r="P38" s="3">
        <f>IF( AND(P$3 &gt;= Вводные!$F167, P$3 &lt;= Вводные!$G167), 1, 0)</f>
        <v>1</v>
      </c>
      <c r="Q38" s="3">
        <f>IF( AND(Q$3 &gt;= Вводные!$F167, Q$3 &lt;= Вводные!$G167), 1, 0)</f>
        <v>1</v>
      </c>
      <c r="R38" s="3">
        <f>IF( AND(R$3 &gt;= Вводные!$F167, R$3 &lt;= Вводные!$G167), 1, 0)</f>
        <v>1</v>
      </c>
      <c r="S38" s="3">
        <f>IF( AND(S$3 &gt;= Вводные!$F167, S$3 &lt;= Вводные!$G167), 1, 0)</f>
        <v>1</v>
      </c>
      <c r="T38" s="3">
        <f>IF( AND(T$3 &gt;= Вводные!$F167, T$3 &lt;= Вводные!$G167), 1, 0)</f>
        <v>1</v>
      </c>
      <c r="U38" s="3">
        <f>IF( AND(U$3 &gt;= Вводные!$F167, U$3 &lt;= Вводные!$G167), 1, 0)</f>
        <v>1</v>
      </c>
      <c r="V38" s="3">
        <f>IF( AND(V$3 &gt;= Вводные!$F167, V$3 &lt;= Вводные!$G167), 1, 0)</f>
        <v>1</v>
      </c>
      <c r="W38" s="3">
        <f>IF( AND(W$3 &gt;= Вводные!$F167, W$3 &lt;= Вводные!$G167), 1, 0)</f>
        <v>1</v>
      </c>
      <c r="X38" s="3">
        <f>IF( AND(X$3 &gt;= Вводные!$F167, X$3 &lt;= Вводные!$G167), 1, 0)</f>
        <v>1</v>
      </c>
      <c r="Y38" s="3">
        <f>IF( AND(Y$3 &gt;= Вводные!$F167, Y$3 &lt;= Вводные!$G167), 1, 0)</f>
        <v>1</v>
      </c>
      <c r="Z38" s="3">
        <f>IF( AND(Z$3 &gt;= Вводные!$F167, Z$3 &lt;= Вводные!$G167), 1, 0)</f>
        <v>1</v>
      </c>
      <c r="AA38" s="3">
        <f>IF( AND(AA$3 &gt;= Вводные!$F167, AA$3 &lt;= Вводные!$G167), 1, 0)</f>
        <v>1</v>
      </c>
      <c r="AB38" s="3">
        <f>IF( AND(AB$3 &gt;= Вводные!$F167, AB$3 &lt;= Вводные!$G167), 1, 0)</f>
        <v>1</v>
      </c>
      <c r="AC38" s="3">
        <f>IF( AND(AC$3 &gt;= Вводные!$F167, AC$3 &lt;= Вводные!$G167), 1, 0)</f>
        <v>1</v>
      </c>
      <c r="AD38" s="3">
        <f>IF( AND(AD$3 &gt;= Вводные!$F167, AD$3 &lt;= Вводные!$G167), 1, 0)</f>
        <v>1</v>
      </c>
      <c r="AE38" s="3">
        <f>IF( AND(AE$3 &gt;= Вводные!$F167, AE$3 &lt;= Вводные!$G167), 1, 0)</f>
        <v>1</v>
      </c>
      <c r="AF38" s="3">
        <f>IF( AND(AF$3 &gt;= Вводные!$F167, AF$3 &lt;= Вводные!$G167), 1, 0)</f>
        <v>1</v>
      </c>
      <c r="AG38" s="3">
        <f>IF( AND(AG$3 &gt;= Вводные!$F167, AG$3 &lt;= Вводные!$G167), 1, 0)</f>
        <v>1</v>
      </c>
      <c r="AH38" s="3">
        <f>IF( AND(AH$3 &gt;= Вводные!$F167, AH$3 &lt;= Вводные!$G167), 1, 0)</f>
        <v>1</v>
      </c>
      <c r="AI38" s="3">
        <f>IF( AND(AI$3 &gt;= Вводные!$F167, AI$3 &lt;= Вводные!$G167), 1, 0)</f>
        <v>1</v>
      </c>
      <c r="AJ38" s="3">
        <f>IF( AND(AJ$3 &gt;= Вводные!$F167, AJ$3 &lt;= Вводные!$G167), 1, 0)</f>
        <v>1</v>
      </c>
      <c r="AK38" s="3">
        <f>IF( AND(AK$3 &gt;= Вводные!$F167, AK$3 &lt;= Вводные!$G167), 1, 0)</f>
        <v>1</v>
      </c>
      <c r="AL38" s="3">
        <f>IF( AND(AL$3 &gt;= Вводные!$F167, AL$3 &lt;= Вводные!$G167), 1, 0)</f>
        <v>1</v>
      </c>
      <c r="AM38" s="3">
        <f>IF( AND(AM$3 &gt;= Вводные!$F167, AM$3 &lt;= Вводные!$G167), 1, 0)</f>
        <v>1</v>
      </c>
      <c r="AN38" s="3">
        <f>IF( AND(AN$3 &gt;= Вводные!$F167, AN$3 &lt;= Вводные!$G167), 1, 0)</f>
        <v>1</v>
      </c>
      <c r="AO38" s="3">
        <f>IF( AND(AO$3 &gt;= Вводные!$F167, AO$3 &lt;= Вводные!$G167), 1, 0)</f>
        <v>1</v>
      </c>
      <c r="AP38" s="3">
        <f>IF( AND(AP$3 &gt;= Вводные!$F167, AP$3 &lt;= Вводные!$G167), 1, 0)</f>
        <v>1</v>
      </c>
      <c r="AQ38" s="3">
        <f>IF( AND(AQ$3 &gt;= Вводные!$F167, AQ$3 &lt;= Вводные!$G167), 1, 0)</f>
        <v>1</v>
      </c>
      <c r="AR38" s="3">
        <f>IF( AND(AR$3 &gt;= Вводные!$F167, AR$3 &lt;= Вводные!$G167), 1, 0)</f>
        <v>1</v>
      </c>
      <c r="AS38" s="3">
        <f>IF( AND(AS$3 &gt;= Вводные!$F167, AS$3 &lt;= Вводные!$G167), 1, 0)</f>
        <v>1</v>
      </c>
      <c r="AT38" s="3">
        <f>IF( AND(AT$3 &gt;= Вводные!$F167, AT$3 &lt;= Вводные!$G167), 1, 0)</f>
        <v>1</v>
      </c>
      <c r="AU38" s="3">
        <f>IF( AND(AU$3 &gt;= Вводные!$F167, AU$3 &lt;= Вводные!$G167), 1, 0)</f>
        <v>1</v>
      </c>
      <c r="AV38" s="3">
        <f>IF( AND(AV$3 &gt;= Вводные!$F167, AV$3 &lt;= Вводные!$G167), 1, 0)</f>
        <v>1</v>
      </c>
      <c r="AW38" s="3">
        <f>IF( AND(AW$3 &gt;= Вводные!$F167, AW$3 &lt;= Вводные!$G167), 1, 0)</f>
        <v>1</v>
      </c>
      <c r="AX38" s="3">
        <f>IF( AND(AX$3 &gt;= Вводные!$F167, AX$3 &lt;= Вводные!$G167), 1, 0)</f>
        <v>1</v>
      </c>
      <c r="AY38" s="3">
        <f>IF( AND(AY$3 &gt;= Вводные!$F167, AY$3 &lt;= Вводные!$G167), 1, 0)</f>
        <v>1</v>
      </c>
      <c r="AZ38" s="3">
        <f>IF( AND(AZ$3 &gt;= Вводные!$F167, AZ$3 &lt;= Вводные!$G167), 1, 0)</f>
        <v>1</v>
      </c>
      <c r="BA38" s="3">
        <f>IF( AND(BA$3 &gt;= Вводные!$F167, BA$3 &lt;= Вводные!$G167), 1, 0)</f>
        <v>1</v>
      </c>
      <c r="BB38" s="3">
        <f>IF( AND(BB$3 &gt;= Вводные!$F167, BB$3 &lt;= Вводные!$G167), 1, 0)</f>
        <v>1</v>
      </c>
      <c r="BC38" s="3">
        <f>IF( AND(BC$3 &gt;= Вводные!$F167, BC$3 &lt;= Вводные!$G167), 1, 0)</f>
        <v>1</v>
      </c>
      <c r="BD38" s="3">
        <f>IF( AND(BD$3 &gt;= Вводные!$F167, BD$3 &lt;= Вводные!$G167), 1, 0)</f>
        <v>1</v>
      </c>
      <c r="BE38" s="3">
        <f>IF( AND(BE$3 &gt;= Вводные!$F167, BE$3 &lt;= Вводные!$G167), 1, 0)</f>
        <v>1</v>
      </c>
      <c r="BF38" s="3">
        <f>IF( AND(BF$3 &gt;= Вводные!$F167, BF$3 &lt;= Вводные!$G167), 1, 0)</f>
        <v>1</v>
      </c>
      <c r="BG38" s="3">
        <f>IF( AND(BG$3 &gt;= Вводные!$F167, BG$3 &lt;= Вводные!$G167), 1, 0)</f>
        <v>1</v>
      </c>
      <c r="BH38" s="3">
        <f>IF( AND(BH$3 &gt;= Вводные!$F167, BH$3 &lt;= Вводные!$G167), 1, 0)</f>
        <v>1</v>
      </c>
      <c r="BI38" s="3">
        <f>IF( AND(BI$3 &gt;= Вводные!$F167, BI$3 &lt;= Вводные!$G167), 1, 0)</f>
        <v>1</v>
      </c>
      <c r="BJ38" s="3">
        <f>IF( AND(BJ$3 &gt;= Вводные!$F167, BJ$3 &lt;= Вводные!$G167), 1, 0)</f>
        <v>1</v>
      </c>
    </row>
    <row r="39" spans="2:62" x14ac:dyDescent="0.15">
      <c r="D39" s="11" t="str">
        <f>Вводные!$D$120</f>
        <v xml:space="preserve">Долг 2 млн </v>
      </c>
      <c r="E39" s="12" t="s">
        <v>37</v>
      </c>
      <c r="J39" s="3">
        <f>IF( AND(J$3 &gt;= Вводные!$F168, J$3 &lt;= Вводные!$G168), 1, 0)</f>
        <v>1</v>
      </c>
      <c r="K39" s="3">
        <f>IF( AND(K$3 &gt;= Вводные!$F168, K$3 &lt;= Вводные!$G168), 1, 0)</f>
        <v>1</v>
      </c>
      <c r="L39" s="3">
        <f>IF( AND(L$3 &gt;= Вводные!$F168, L$3 &lt;= Вводные!$G168), 1, 0)</f>
        <v>0</v>
      </c>
      <c r="M39" s="3">
        <f>IF( AND(M$3 &gt;= Вводные!$F168, M$3 &lt;= Вводные!$G168), 1, 0)</f>
        <v>0</v>
      </c>
      <c r="N39" s="3">
        <f>IF( AND(N$3 &gt;= Вводные!$F168, N$3 &lt;= Вводные!$G168), 1, 0)</f>
        <v>0</v>
      </c>
      <c r="O39" s="3">
        <f>IF( AND(O$3 &gt;= Вводные!$F168, O$3 &lt;= Вводные!$G168), 1, 0)</f>
        <v>0</v>
      </c>
      <c r="P39" s="3">
        <f>IF( AND(P$3 &gt;= Вводные!$F168, P$3 &lt;= Вводные!$G168), 1, 0)</f>
        <v>0</v>
      </c>
      <c r="Q39" s="3">
        <f>IF( AND(Q$3 &gt;= Вводные!$F168, Q$3 &lt;= Вводные!$G168), 1, 0)</f>
        <v>0</v>
      </c>
      <c r="R39" s="3">
        <f>IF( AND(R$3 &gt;= Вводные!$F168, R$3 &lt;= Вводные!$G168), 1, 0)</f>
        <v>0</v>
      </c>
      <c r="S39" s="3">
        <f>IF( AND(S$3 &gt;= Вводные!$F168, S$3 &lt;= Вводные!$G168), 1, 0)</f>
        <v>0</v>
      </c>
      <c r="T39" s="3">
        <f>IF( AND(T$3 &gt;= Вводные!$F168, T$3 &lt;= Вводные!$G168), 1, 0)</f>
        <v>0</v>
      </c>
      <c r="U39" s="3">
        <f>IF( AND(U$3 &gt;= Вводные!$F168, U$3 &lt;= Вводные!$G168), 1, 0)</f>
        <v>0</v>
      </c>
      <c r="V39" s="3">
        <f>IF( AND(V$3 &gt;= Вводные!$F168, V$3 &lt;= Вводные!$G168), 1, 0)</f>
        <v>0</v>
      </c>
      <c r="W39" s="3">
        <f>IF( AND(W$3 &gt;= Вводные!$F168, W$3 &lt;= Вводные!$G168), 1, 0)</f>
        <v>0</v>
      </c>
      <c r="X39" s="3">
        <f>IF( AND(X$3 &gt;= Вводные!$F168, X$3 &lt;= Вводные!$G168), 1, 0)</f>
        <v>0</v>
      </c>
      <c r="Y39" s="3">
        <f>IF( AND(Y$3 &gt;= Вводные!$F168, Y$3 &lt;= Вводные!$G168), 1, 0)</f>
        <v>0</v>
      </c>
      <c r="Z39" s="3">
        <f>IF( AND(Z$3 &gt;= Вводные!$F168, Z$3 &lt;= Вводные!$G168), 1, 0)</f>
        <v>0</v>
      </c>
      <c r="AA39" s="3">
        <f>IF( AND(AA$3 &gt;= Вводные!$F168, AA$3 &lt;= Вводные!$G168), 1, 0)</f>
        <v>0</v>
      </c>
      <c r="AB39" s="3">
        <f>IF( AND(AB$3 &gt;= Вводные!$F168, AB$3 &lt;= Вводные!$G168), 1, 0)</f>
        <v>0</v>
      </c>
      <c r="AC39" s="3">
        <f>IF( AND(AC$3 &gt;= Вводные!$F168, AC$3 &lt;= Вводные!$G168), 1, 0)</f>
        <v>0</v>
      </c>
      <c r="AD39" s="3">
        <f>IF( AND(AD$3 &gt;= Вводные!$F168, AD$3 &lt;= Вводные!$G168), 1, 0)</f>
        <v>0</v>
      </c>
      <c r="AE39" s="3">
        <f>IF( AND(AE$3 &gt;= Вводные!$F168, AE$3 &lt;= Вводные!$G168), 1, 0)</f>
        <v>0</v>
      </c>
      <c r="AF39" s="3">
        <f>IF( AND(AF$3 &gt;= Вводные!$F168, AF$3 &lt;= Вводные!$G168), 1, 0)</f>
        <v>0</v>
      </c>
      <c r="AG39" s="3">
        <f>IF( AND(AG$3 &gt;= Вводные!$F168, AG$3 &lt;= Вводные!$G168), 1, 0)</f>
        <v>0</v>
      </c>
      <c r="AH39" s="3">
        <f>IF( AND(AH$3 &gt;= Вводные!$F168, AH$3 &lt;= Вводные!$G168), 1, 0)</f>
        <v>0</v>
      </c>
      <c r="AI39" s="3">
        <f>IF( AND(AI$3 &gt;= Вводные!$F168, AI$3 &lt;= Вводные!$G168), 1, 0)</f>
        <v>0</v>
      </c>
      <c r="AJ39" s="3">
        <f>IF( AND(AJ$3 &gt;= Вводные!$F168, AJ$3 &lt;= Вводные!$G168), 1, 0)</f>
        <v>0</v>
      </c>
      <c r="AK39" s="3">
        <f>IF( AND(AK$3 &gt;= Вводные!$F168, AK$3 &lt;= Вводные!$G168), 1, 0)</f>
        <v>0</v>
      </c>
      <c r="AL39" s="3">
        <f>IF( AND(AL$3 &gt;= Вводные!$F168, AL$3 &lt;= Вводные!$G168), 1, 0)</f>
        <v>0</v>
      </c>
      <c r="AM39" s="3">
        <f>IF( AND(AM$3 &gt;= Вводные!$F168, AM$3 &lt;= Вводные!$G168), 1, 0)</f>
        <v>0</v>
      </c>
      <c r="AN39" s="3">
        <f>IF( AND(AN$3 &gt;= Вводные!$F168, AN$3 &lt;= Вводные!$G168), 1, 0)</f>
        <v>0</v>
      </c>
      <c r="AO39" s="3">
        <f>IF( AND(AO$3 &gt;= Вводные!$F168, AO$3 &lt;= Вводные!$G168), 1, 0)</f>
        <v>0</v>
      </c>
      <c r="AP39" s="3">
        <f>IF( AND(AP$3 &gt;= Вводные!$F168, AP$3 &lt;= Вводные!$G168), 1, 0)</f>
        <v>0</v>
      </c>
      <c r="AQ39" s="3">
        <f>IF( AND(AQ$3 &gt;= Вводные!$F168, AQ$3 &lt;= Вводные!$G168), 1, 0)</f>
        <v>0</v>
      </c>
      <c r="AR39" s="3">
        <f>IF( AND(AR$3 &gt;= Вводные!$F168, AR$3 &lt;= Вводные!$G168), 1, 0)</f>
        <v>0</v>
      </c>
      <c r="AS39" s="3">
        <f>IF( AND(AS$3 &gt;= Вводные!$F168, AS$3 &lt;= Вводные!$G168), 1, 0)</f>
        <v>0</v>
      </c>
      <c r="AT39" s="3">
        <f>IF( AND(AT$3 &gt;= Вводные!$F168, AT$3 &lt;= Вводные!$G168), 1, 0)</f>
        <v>0</v>
      </c>
      <c r="AU39" s="3">
        <f>IF( AND(AU$3 &gt;= Вводные!$F168, AU$3 &lt;= Вводные!$G168), 1, 0)</f>
        <v>0</v>
      </c>
      <c r="AV39" s="3">
        <f>IF( AND(AV$3 &gt;= Вводные!$F168, AV$3 &lt;= Вводные!$G168), 1, 0)</f>
        <v>0</v>
      </c>
      <c r="AW39" s="3">
        <f>IF( AND(AW$3 &gt;= Вводные!$F168, AW$3 &lt;= Вводные!$G168), 1, 0)</f>
        <v>0</v>
      </c>
      <c r="AX39" s="3">
        <f>IF( AND(AX$3 &gt;= Вводные!$F168, AX$3 &lt;= Вводные!$G168), 1, 0)</f>
        <v>0</v>
      </c>
      <c r="AY39" s="3">
        <f>IF( AND(AY$3 &gt;= Вводные!$F168, AY$3 &lt;= Вводные!$G168), 1, 0)</f>
        <v>0</v>
      </c>
      <c r="AZ39" s="3">
        <f>IF( AND(AZ$3 &gt;= Вводные!$F168, AZ$3 &lt;= Вводные!$G168), 1, 0)</f>
        <v>0</v>
      </c>
      <c r="BA39" s="3">
        <f>IF( AND(BA$3 &gt;= Вводные!$F168, BA$3 &lt;= Вводные!$G168), 1, 0)</f>
        <v>0</v>
      </c>
      <c r="BB39" s="3">
        <f>IF( AND(BB$3 &gt;= Вводные!$F168, BB$3 &lt;= Вводные!$G168), 1, 0)</f>
        <v>0</v>
      </c>
      <c r="BC39" s="3">
        <f>IF( AND(BC$3 &gt;= Вводные!$F168, BC$3 &lt;= Вводные!$G168), 1, 0)</f>
        <v>0</v>
      </c>
      <c r="BD39" s="3">
        <f>IF( AND(BD$3 &gt;= Вводные!$F168, BD$3 &lt;= Вводные!$G168), 1, 0)</f>
        <v>0</v>
      </c>
      <c r="BE39" s="3">
        <f>IF( AND(BE$3 &gt;= Вводные!$F168, BE$3 &lt;= Вводные!$G168), 1, 0)</f>
        <v>0</v>
      </c>
      <c r="BF39" s="3">
        <f>IF( AND(BF$3 &gt;= Вводные!$F168, BF$3 &lt;= Вводные!$G168), 1, 0)</f>
        <v>0</v>
      </c>
      <c r="BG39" s="3">
        <f>IF( AND(BG$3 &gt;= Вводные!$F168, BG$3 &lt;= Вводные!$G168), 1, 0)</f>
        <v>0</v>
      </c>
      <c r="BH39" s="3">
        <f>IF( AND(BH$3 &gt;= Вводные!$F168, BH$3 &lt;= Вводные!$G168), 1, 0)</f>
        <v>0</v>
      </c>
      <c r="BI39" s="3">
        <f>IF( AND(BI$3 &gt;= Вводные!$F168, BI$3 &lt;= Вводные!$G168), 1, 0)</f>
        <v>0</v>
      </c>
      <c r="BJ39" s="3">
        <f>IF( AND(BJ$3 &gt;= Вводные!$F168, BJ$3 &lt;= Вводные!$G168), 1, 0)</f>
        <v>0</v>
      </c>
    </row>
    <row r="40" spans="2:62" x14ac:dyDescent="0.15">
      <c r="D40" s="11" t="str">
        <f>Вводные!$D$121</f>
        <v>Долг за квартиру</v>
      </c>
      <c r="E40" s="12" t="s">
        <v>37</v>
      </c>
      <c r="J40" s="3">
        <f>IF( AND(J$3 &gt;= Вводные!$F169, J$3 &lt;= Вводные!$G169), 1, 0)</f>
        <v>1</v>
      </c>
      <c r="K40" s="3">
        <f>IF( AND(K$3 &gt;= Вводные!$F169, K$3 &lt;= Вводные!$G169), 1, 0)</f>
        <v>1</v>
      </c>
      <c r="L40" s="3">
        <f>IF( AND(L$3 &gt;= Вводные!$F169, L$3 &lt;= Вводные!$G169), 1, 0)</f>
        <v>1</v>
      </c>
      <c r="M40" s="3">
        <f>IF( AND(M$3 &gt;= Вводные!$F169, M$3 &lt;= Вводные!$G169), 1, 0)</f>
        <v>1</v>
      </c>
      <c r="N40" s="3">
        <f>IF( AND(N$3 &gt;= Вводные!$F169, N$3 &lt;= Вводные!$G169), 1, 0)</f>
        <v>1</v>
      </c>
      <c r="O40" s="3">
        <f>IF( AND(O$3 &gt;= Вводные!$F169, O$3 &lt;= Вводные!$G169), 1, 0)</f>
        <v>0</v>
      </c>
      <c r="P40" s="3">
        <f>IF( AND(P$3 &gt;= Вводные!$F169, P$3 &lt;= Вводные!$G169), 1, 0)</f>
        <v>0</v>
      </c>
      <c r="Q40" s="3">
        <f>IF( AND(Q$3 &gt;= Вводные!$F169, Q$3 &lt;= Вводные!$G169), 1, 0)</f>
        <v>0</v>
      </c>
      <c r="R40" s="3">
        <f>IF( AND(R$3 &gt;= Вводные!$F169, R$3 &lt;= Вводные!$G169), 1, 0)</f>
        <v>0</v>
      </c>
      <c r="S40" s="3">
        <f>IF( AND(S$3 &gt;= Вводные!$F169, S$3 &lt;= Вводные!$G169), 1, 0)</f>
        <v>0</v>
      </c>
      <c r="T40" s="3">
        <f>IF( AND(T$3 &gt;= Вводные!$F169, T$3 &lt;= Вводные!$G169), 1, 0)</f>
        <v>0</v>
      </c>
      <c r="U40" s="3">
        <f>IF( AND(U$3 &gt;= Вводные!$F169, U$3 &lt;= Вводные!$G169), 1, 0)</f>
        <v>0</v>
      </c>
      <c r="V40" s="3">
        <f>IF( AND(V$3 &gt;= Вводные!$F169, V$3 &lt;= Вводные!$G169), 1, 0)</f>
        <v>0</v>
      </c>
      <c r="W40" s="3">
        <f>IF( AND(W$3 &gt;= Вводные!$F169, W$3 &lt;= Вводные!$G169), 1, 0)</f>
        <v>0</v>
      </c>
      <c r="X40" s="3">
        <f>IF( AND(X$3 &gt;= Вводные!$F169, X$3 &lt;= Вводные!$G169), 1, 0)</f>
        <v>0</v>
      </c>
      <c r="Y40" s="3">
        <f>IF( AND(Y$3 &gt;= Вводные!$F169, Y$3 &lt;= Вводные!$G169), 1, 0)</f>
        <v>0</v>
      </c>
      <c r="Z40" s="3">
        <f>IF( AND(Z$3 &gt;= Вводные!$F169, Z$3 &lt;= Вводные!$G169), 1, 0)</f>
        <v>0</v>
      </c>
      <c r="AA40" s="3">
        <f>IF( AND(AA$3 &gt;= Вводные!$F169, AA$3 &lt;= Вводные!$G169), 1, 0)</f>
        <v>0</v>
      </c>
      <c r="AB40" s="3">
        <f>IF( AND(AB$3 &gt;= Вводные!$F169, AB$3 &lt;= Вводные!$G169), 1, 0)</f>
        <v>0</v>
      </c>
      <c r="AC40" s="3">
        <f>IF( AND(AC$3 &gt;= Вводные!$F169, AC$3 &lt;= Вводные!$G169), 1, 0)</f>
        <v>0</v>
      </c>
      <c r="AD40" s="3">
        <f>IF( AND(AD$3 &gt;= Вводные!$F169, AD$3 &lt;= Вводные!$G169), 1, 0)</f>
        <v>0</v>
      </c>
      <c r="AE40" s="3">
        <f>IF( AND(AE$3 &gt;= Вводные!$F169, AE$3 &lt;= Вводные!$G169), 1, 0)</f>
        <v>0</v>
      </c>
      <c r="AF40" s="3">
        <f>IF( AND(AF$3 &gt;= Вводные!$F169, AF$3 &lt;= Вводные!$G169), 1, 0)</f>
        <v>0</v>
      </c>
      <c r="AG40" s="3">
        <f>IF( AND(AG$3 &gt;= Вводные!$F169, AG$3 &lt;= Вводные!$G169), 1, 0)</f>
        <v>0</v>
      </c>
      <c r="AH40" s="3">
        <f>IF( AND(AH$3 &gt;= Вводные!$F169, AH$3 &lt;= Вводные!$G169), 1, 0)</f>
        <v>0</v>
      </c>
      <c r="AI40" s="3">
        <f>IF( AND(AI$3 &gt;= Вводные!$F169, AI$3 &lt;= Вводные!$G169), 1, 0)</f>
        <v>0</v>
      </c>
      <c r="AJ40" s="3">
        <f>IF( AND(AJ$3 &gt;= Вводные!$F169, AJ$3 &lt;= Вводные!$G169), 1, 0)</f>
        <v>0</v>
      </c>
      <c r="AK40" s="3">
        <f>IF( AND(AK$3 &gt;= Вводные!$F169, AK$3 &lt;= Вводные!$G169), 1, 0)</f>
        <v>0</v>
      </c>
      <c r="AL40" s="3">
        <f>IF( AND(AL$3 &gt;= Вводные!$F169, AL$3 &lt;= Вводные!$G169), 1, 0)</f>
        <v>0</v>
      </c>
      <c r="AM40" s="3">
        <f>IF( AND(AM$3 &gt;= Вводные!$F169, AM$3 &lt;= Вводные!$G169), 1, 0)</f>
        <v>0</v>
      </c>
      <c r="AN40" s="3">
        <f>IF( AND(AN$3 &gt;= Вводные!$F169, AN$3 &lt;= Вводные!$G169), 1, 0)</f>
        <v>0</v>
      </c>
      <c r="AO40" s="3">
        <f>IF( AND(AO$3 &gt;= Вводные!$F169, AO$3 &lt;= Вводные!$G169), 1, 0)</f>
        <v>0</v>
      </c>
      <c r="AP40" s="3">
        <f>IF( AND(AP$3 &gt;= Вводные!$F169, AP$3 &lt;= Вводные!$G169), 1, 0)</f>
        <v>0</v>
      </c>
      <c r="AQ40" s="3">
        <f>IF( AND(AQ$3 &gt;= Вводные!$F169, AQ$3 &lt;= Вводные!$G169), 1, 0)</f>
        <v>0</v>
      </c>
      <c r="AR40" s="3">
        <f>IF( AND(AR$3 &gt;= Вводные!$F169, AR$3 &lt;= Вводные!$G169), 1, 0)</f>
        <v>0</v>
      </c>
      <c r="AS40" s="3">
        <f>IF( AND(AS$3 &gt;= Вводные!$F169, AS$3 &lt;= Вводные!$G169), 1, 0)</f>
        <v>0</v>
      </c>
      <c r="AT40" s="3">
        <f>IF( AND(AT$3 &gt;= Вводные!$F169, AT$3 &lt;= Вводные!$G169), 1, 0)</f>
        <v>0</v>
      </c>
      <c r="AU40" s="3">
        <f>IF( AND(AU$3 &gt;= Вводные!$F169, AU$3 &lt;= Вводные!$G169), 1, 0)</f>
        <v>0</v>
      </c>
      <c r="AV40" s="3">
        <f>IF( AND(AV$3 &gt;= Вводные!$F169, AV$3 &lt;= Вводные!$G169), 1, 0)</f>
        <v>0</v>
      </c>
      <c r="AW40" s="3">
        <f>IF( AND(AW$3 &gt;= Вводные!$F169, AW$3 &lt;= Вводные!$G169), 1, 0)</f>
        <v>0</v>
      </c>
      <c r="AX40" s="3">
        <f>IF( AND(AX$3 &gt;= Вводные!$F169, AX$3 &lt;= Вводные!$G169), 1, 0)</f>
        <v>0</v>
      </c>
      <c r="AY40" s="3">
        <f>IF( AND(AY$3 &gt;= Вводные!$F169, AY$3 &lt;= Вводные!$G169), 1, 0)</f>
        <v>0</v>
      </c>
      <c r="AZ40" s="3">
        <f>IF( AND(AZ$3 &gt;= Вводные!$F169, AZ$3 &lt;= Вводные!$G169), 1, 0)</f>
        <v>0</v>
      </c>
      <c r="BA40" s="3">
        <f>IF( AND(BA$3 &gt;= Вводные!$F169, BA$3 &lt;= Вводные!$G169), 1, 0)</f>
        <v>0</v>
      </c>
      <c r="BB40" s="3">
        <f>IF( AND(BB$3 &gt;= Вводные!$F169, BB$3 &lt;= Вводные!$G169), 1, 0)</f>
        <v>0</v>
      </c>
      <c r="BC40" s="3">
        <f>IF( AND(BC$3 &gt;= Вводные!$F169, BC$3 &lt;= Вводные!$G169), 1, 0)</f>
        <v>0</v>
      </c>
      <c r="BD40" s="3">
        <f>IF( AND(BD$3 &gt;= Вводные!$F169, BD$3 &lt;= Вводные!$G169), 1, 0)</f>
        <v>0</v>
      </c>
      <c r="BE40" s="3">
        <f>IF( AND(BE$3 &gt;= Вводные!$F169, BE$3 &lt;= Вводные!$G169), 1, 0)</f>
        <v>0</v>
      </c>
      <c r="BF40" s="3">
        <f>IF( AND(BF$3 &gt;= Вводные!$F169, BF$3 &lt;= Вводные!$G169), 1, 0)</f>
        <v>0</v>
      </c>
      <c r="BG40" s="3">
        <f>IF( AND(BG$3 &gt;= Вводные!$F169, BG$3 &lt;= Вводные!$G169), 1, 0)</f>
        <v>0</v>
      </c>
      <c r="BH40" s="3">
        <f>IF( AND(BH$3 &gt;= Вводные!$F169, BH$3 &lt;= Вводные!$G169), 1, 0)</f>
        <v>0</v>
      </c>
      <c r="BI40" s="3">
        <f>IF( AND(BI$3 &gt;= Вводные!$F169, BI$3 &lt;= Вводные!$G169), 1, 0)</f>
        <v>0</v>
      </c>
      <c r="BJ40" s="3">
        <f>IF( AND(BJ$3 &gt;= Вводные!$F169, BJ$3 &lt;= Вводные!$G169), 1, 0)</f>
        <v>0</v>
      </c>
    </row>
    <row r="41" spans="2:62" x14ac:dyDescent="0.15">
      <c r="D41" s="11" t="str">
        <f>Вводные!$D$122</f>
        <v>Подарки</v>
      </c>
      <c r="E41" s="12" t="s">
        <v>37</v>
      </c>
      <c r="J41" s="3">
        <f>IF( AND(J$3 &gt;= Вводные!$F170, J$3 &lt;= Вводные!$G170), 1, 0)</f>
        <v>1</v>
      </c>
      <c r="K41" s="3">
        <f>IF( AND(K$3 &gt;= Вводные!$F170, K$3 &lt;= Вводные!$G170), 1, 0)</f>
        <v>1</v>
      </c>
      <c r="L41" s="3">
        <f>IF( AND(L$3 &gt;= Вводные!$F170, L$3 &lt;= Вводные!$G170), 1, 0)</f>
        <v>1</v>
      </c>
      <c r="M41" s="3">
        <f>IF( AND(M$3 &gt;= Вводные!$F170, M$3 &lt;= Вводные!$G170), 1, 0)</f>
        <v>1</v>
      </c>
      <c r="N41" s="3">
        <f>IF( AND(N$3 &gt;= Вводные!$F170, N$3 &lt;= Вводные!$G170), 1, 0)</f>
        <v>1</v>
      </c>
      <c r="O41" s="3">
        <f>IF( AND(O$3 &gt;= Вводные!$F170, O$3 &lt;= Вводные!$G170), 1, 0)</f>
        <v>1</v>
      </c>
      <c r="P41" s="3">
        <f>IF( AND(P$3 &gt;= Вводные!$F170, P$3 &lt;= Вводные!$G170), 1, 0)</f>
        <v>1</v>
      </c>
      <c r="Q41" s="3">
        <f>IF( AND(Q$3 &gt;= Вводные!$F170, Q$3 &lt;= Вводные!$G170), 1, 0)</f>
        <v>1</v>
      </c>
      <c r="R41" s="3">
        <f>IF( AND(R$3 &gt;= Вводные!$F170, R$3 &lt;= Вводные!$G170), 1, 0)</f>
        <v>1</v>
      </c>
      <c r="S41" s="3">
        <f>IF( AND(S$3 &gt;= Вводные!$F170, S$3 &lt;= Вводные!$G170), 1, 0)</f>
        <v>1</v>
      </c>
      <c r="T41" s="3">
        <f>IF( AND(T$3 &gt;= Вводные!$F170, T$3 &lt;= Вводные!$G170), 1, 0)</f>
        <v>1</v>
      </c>
      <c r="U41" s="3">
        <f>IF( AND(U$3 &gt;= Вводные!$F170, U$3 &lt;= Вводные!$G170), 1, 0)</f>
        <v>1</v>
      </c>
      <c r="V41" s="3">
        <f>IF( AND(V$3 &gt;= Вводные!$F170, V$3 &lt;= Вводные!$G170), 1, 0)</f>
        <v>1</v>
      </c>
      <c r="W41" s="3">
        <f>IF( AND(W$3 &gt;= Вводные!$F170, W$3 &lt;= Вводные!$G170), 1, 0)</f>
        <v>1</v>
      </c>
      <c r="X41" s="3">
        <f>IF( AND(X$3 &gt;= Вводные!$F170, X$3 &lt;= Вводные!$G170), 1, 0)</f>
        <v>1</v>
      </c>
      <c r="Y41" s="3">
        <f>IF( AND(Y$3 &gt;= Вводные!$F170, Y$3 &lt;= Вводные!$G170), 1, 0)</f>
        <v>1</v>
      </c>
      <c r="Z41" s="3">
        <f>IF( AND(Z$3 &gt;= Вводные!$F170, Z$3 &lt;= Вводные!$G170), 1, 0)</f>
        <v>1</v>
      </c>
      <c r="AA41" s="3">
        <f>IF( AND(AA$3 &gt;= Вводные!$F170, AA$3 &lt;= Вводные!$G170), 1, 0)</f>
        <v>1</v>
      </c>
      <c r="AB41" s="3">
        <f>IF( AND(AB$3 &gt;= Вводные!$F170, AB$3 &lt;= Вводные!$G170), 1, 0)</f>
        <v>1</v>
      </c>
      <c r="AC41" s="3">
        <f>IF( AND(AC$3 &gt;= Вводные!$F170, AC$3 &lt;= Вводные!$G170), 1, 0)</f>
        <v>1</v>
      </c>
      <c r="AD41" s="3">
        <f>IF( AND(AD$3 &gt;= Вводные!$F170, AD$3 &lt;= Вводные!$G170), 1, 0)</f>
        <v>1</v>
      </c>
      <c r="AE41" s="3">
        <f>IF( AND(AE$3 &gt;= Вводные!$F170, AE$3 &lt;= Вводные!$G170), 1, 0)</f>
        <v>1</v>
      </c>
      <c r="AF41" s="3">
        <f>IF( AND(AF$3 &gt;= Вводные!$F170, AF$3 &lt;= Вводные!$G170), 1, 0)</f>
        <v>1</v>
      </c>
      <c r="AG41" s="3">
        <f>IF( AND(AG$3 &gt;= Вводные!$F170, AG$3 &lt;= Вводные!$G170), 1, 0)</f>
        <v>1</v>
      </c>
      <c r="AH41" s="3">
        <f>IF( AND(AH$3 &gt;= Вводные!$F170, AH$3 &lt;= Вводные!$G170), 1, 0)</f>
        <v>1</v>
      </c>
      <c r="AI41" s="3">
        <f>IF( AND(AI$3 &gt;= Вводные!$F170, AI$3 &lt;= Вводные!$G170), 1, 0)</f>
        <v>1</v>
      </c>
      <c r="AJ41" s="3">
        <f>IF( AND(AJ$3 &gt;= Вводные!$F170, AJ$3 &lt;= Вводные!$G170), 1, 0)</f>
        <v>1</v>
      </c>
      <c r="AK41" s="3">
        <f>IF( AND(AK$3 &gt;= Вводные!$F170, AK$3 &lt;= Вводные!$G170), 1, 0)</f>
        <v>1</v>
      </c>
      <c r="AL41" s="3">
        <f>IF( AND(AL$3 &gt;= Вводные!$F170, AL$3 &lt;= Вводные!$G170), 1, 0)</f>
        <v>1</v>
      </c>
      <c r="AM41" s="3">
        <f>IF( AND(AM$3 &gt;= Вводные!$F170, AM$3 &lt;= Вводные!$G170), 1, 0)</f>
        <v>1</v>
      </c>
      <c r="AN41" s="3">
        <f>IF( AND(AN$3 &gt;= Вводные!$F170, AN$3 &lt;= Вводные!$G170), 1, 0)</f>
        <v>1</v>
      </c>
      <c r="AO41" s="3">
        <f>IF( AND(AO$3 &gt;= Вводные!$F170, AO$3 &lt;= Вводные!$G170), 1, 0)</f>
        <v>1</v>
      </c>
      <c r="AP41" s="3">
        <f>IF( AND(AP$3 &gt;= Вводные!$F170, AP$3 &lt;= Вводные!$G170), 1, 0)</f>
        <v>1</v>
      </c>
      <c r="AQ41" s="3">
        <f>IF( AND(AQ$3 &gt;= Вводные!$F170, AQ$3 &lt;= Вводные!$G170), 1, 0)</f>
        <v>1</v>
      </c>
      <c r="AR41" s="3">
        <f>IF( AND(AR$3 &gt;= Вводные!$F170, AR$3 &lt;= Вводные!$G170), 1, 0)</f>
        <v>1</v>
      </c>
      <c r="AS41" s="3">
        <f>IF( AND(AS$3 &gt;= Вводные!$F170, AS$3 &lt;= Вводные!$G170), 1, 0)</f>
        <v>1</v>
      </c>
      <c r="AT41" s="3">
        <f>IF( AND(AT$3 &gt;= Вводные!$F170, AT$3 &lt;= Вводные!$G170), 1, 0)</f>
        <v>1</v>
      </c>
      <c r="AU41" s="3">
        <f>IF( AND(AU$3 &gt;= Вводные!$F170, AU$3 &lt;= Вводные!$G170), 1, 0)</f>
        <v>1</v>
      </c>
      <c r="AV41" s="3">
        <f>IF( AND(AV$3 &gt;= Вводные!$F170, AV$3 &lt;= Вводные!$G170), 1, 0)</f>
        <v>1</v>
      </c>
      <c r="AW41" s="3">
        <f>IF( AND(AW$3 &gt;= Вводные!$F170, AW$3 &lt;= Вводные!$G170), 1, 0)</f>
        <v>1</v>
      </c>
      <c r="AX41" s="3">
        <f>IF( AND(AX$3 &gt;= Вводные!$F170, AX$3 &lt;= Вводные!$G170), 1, 0)</f>
        <v>1</v>
      </c>
      <c r="AY41" s="3">
        <f>IF( AND(AY$3 &gt;= Вводные!$F170, AY$3 &lt;= Вводные!$G170), 1, 0)</f>
        <v>1</v>
      </c>
      <c r="AZ41" s="3">
        <f>IF( AND(AZ$3 &gt;= Вводные!$F170, AZ$3 &lt;= Вводные!$G170), 1, 0)</f>
        <v>1</v>
      </c>
      <c r="BA41" s="3">
        <f>IF( AND(BA$3 &gt;= Вводные!$F170, BA$3 &lt;= Вводные!$G170), 1, 0)</f>
        <v>1</v>
      </c>
      <c r="BB41" s="3">
        <f>IF( AND(BB$3 &gt;= Вводные!$F170, BB$3 &lt;= Вводные!$G170), 1, 0)</f>
        <v>1</v>
      </c>
      <c r="BC41" s="3">
        <f>IF( AND(BC$3 &gt;= Вводные!$F170, BC$3 &lt;= Вводные!$G170), 1, 0)</f>
        <v>1</v>
      </c>
      <c r="BD41" s="3">
        <f>IF( AND(BD$3 &gt;= Вводные!$F170, BD$3 &lt;= Вводные!$G170), 1, 0)</f>
        <v>1</v>
      </c>
      <c r="BE41" s="3">
        <f>IF( AND(BE$3 &gt;= Вводные!$F170, BE$3 &lt;= Вводные!$G170), 1, 0)</f>
        <v>1</v>
      </c>
      <c r="BF41" s="3">
        <f>IF( AND(BF$3 &gt;= Вводные!$F170, BF$3 &lt;= Вводные!$G170), 1, 0)</f>
        <v>1</v>
      </c>
      <c r="BG41" s="3">
        <f>IF( AND(BG$3 &gt;= Вводные!$F170, BG$3 &lt;= Вводные!$G170), 1, 0)</f>
        <v>1</v>
      </c>
      <c r="BH41" s="3">
        <f>IF( AND(BH$3 &gt;= Вводные!$F170, BH$3 &lt;= Вводные!$G170), 1, 0)</f>
        <v>1</v>
      </c>
      <c r="BI41" s="3">
        <f>IF( AND(BI$3 &gt;= Вводные!$F170, BI$3 &lt;= Вводные!$G170), 1, 0)</f>
        <v>1</v>
      </c>
      <c r="BJ41" s="3">
        <f>IF( AND(BJ$3 &gt;= Вводные!$F170, BJ$3 &lt;= Вводные!$G170), 1, 0)</f>
        <v>1</v>
      </c>
    </row>
    <row r="42" spans="2:62" x14ac:dyDescent="0.15">
      <c r="D42" s="11" t="str">
        <f>Вводные!$D$123</f>
        <v>Ежегодный расход 8</v>
      </c>
      <c r="E42" s="12" t="s">
        <v>37</v>
      </c>
      <c r="J42" s="3">
        <f>IF( AND(J$3 &gt;= Вводные!$F171, J$3 &lt;= Вводные!$G171), 1, 0)</f>
        <v>1</v>
      </c>
      <c r="K42" s="3">
        <f>IF( AND(K$3 &gt;= Вводные!$F171, K$3 &lt;= Вводные!$G171), 1, 0)</f>
        <v>1</v>
      </c>
      <c r="L42" s="3">
        <f>IF( AND(L$3 &gt;= Вводные!$F171, L$3 &lt;= Вводные!$G171), 1, 0)</f>
        <v>1</v>
      </c>
      <c r="M42" s="3">
        <f>IF( AND(M$3 &gt;= Вводные!$F171, M$3 &lt;= Вводные!$G171), 1, 0)</f>
        <v>1</v>
      </c>
      <c r="N42" s="3">
        <f>IF( AND(N$3 &gt;= Вводные!$F171, N$3 &lt;= Вводные!$G171), 1, 0)</f>
        <v>1</v>
      </c>
      <c r="O42" s="3">
        <f>IF( AND(O$3 &gt;= Вводные!$F171, O$3 &lt;= Вводные!$G171), 1, 0)</f>
        <v>1</v>
      </c>
      <c r="P42" s="3">
        <f>IF( AND(P$3 &gt;= Вводные!$F171, P$3 &lt;= Вводные!$G171), 1, 0)</f>
        <v>1</v>
      </c>
      <c r="Q42" s="3">
        <f>IF( AND(Q$3 &gt;= Вводные!$F171, Q$3 &lt;= Вводные!$G171), 1, 0)</f>
        <v>1</v>
      </c>
      <c r="R42" s="3">
        <f>IF( AND(R$3 &gt;= Вводные!$F171, R$3 &lt;= Вводные!$G171), 1, 0)</f>
        <v>1</v>
      </c>
      <c r="S42" s="3">
        <f>IF( AND(S$3 &gt;= Вводные!$F171, S$3 &lt;= Вводные!$G171), 1, 0)</f>
        <v>1</v>
      </c>
      <c r="T42" s="3">
        <f>IF( AND(T$3 &gt;= Вводные!$F171, T$3 &lt;= Вводные!$G171), 1, 0)</f>
        <v>1</v>
      </c>
      <c r="U42" s="3">
        <f>IF( AND(U$3 &gt;= Вводные!$F171, U$3 &lt;= Вводные!$G171), 1, 0)</f>
        <v>1</v>
      </c>
      <c r="V42" s="3">
        <f>IF( AND(V$3 &gt;= Вводные!$F171, V$3 &lt;= Вводные!$G171), 1, 0)</f>
        <v>1</v>
      </c>
      <c r="W42" s="3">
        <f>IF( AND(W$3 &gt;= Вводные!$F171, W$3 &lt;= Вводные!$G171), 1, 0)</f>
        <v>1</v>
      </c>
      <c r="X42" s="3">
        <f>IF( AND(X$3 &gt;= Вводные!$F171, X$3 &lt;= Вводные!$G171), 1, 0)</f>
        <v>1</v>
      </c>
      <c r="Y42" s="3">
        <f>IF( AND(Y$3 &gt;= Вводные!$F171, Y$3 &lt;= Вводные!$G171), 1, 0)</f>
        <v>1</v>
      </c>
      <c r="Z42" s="3">
        <f>IF( AND(Z$3 &gt;= Вводные!$F171, Z$3 &lt;= Вводные!$G171), 1, 0)</f>
        <v>1</v>
      </c>
      <c r="AA42" s="3">
        <f>IF( AND(AA$3 &gt;= Вводные!$F171, AA$3 &lt;= Вводные!$G171), 1, 0)</f>
        <v>1</v>
      </c>
      <c r="AB42" s="3">
        <f>IF( AND(AB$3 &gt;= Вводные!$F171, AB$3 &lt;= Вводные!$G171), 1, 0)</f>
        <v>1</v>
      </c>
      <c r="AC42" s="3">
        <f>IF( AND(AC$3 &gt;= Вводные!$F171, AC$3 &lt;= Вводные!$G171), 1, 0)</f>
        <v>1</v>
      </c>
      <c r="AD42" s="3">
        <f>IF( AND(AD$3 &gt;= Вводные!$F171, AD$3 &lt;= Вводные!$G171), 1, 0)</f>
        <v>1</v>
      </c>
      <c r="AE42" s="3">
        <f>IF( AND(AE$3 &gt;= Вводные!$F171, AE$3 &lt;= Вводные!$G171), 1, 0)</f>
        <v>1</v>
      </c>
      <c r="AF42" s="3">
        <f>IF( AND(AF$3 &gt;= Вводные!$F171, AF$3 &lt;= Вводные!$G171), 1, 0)</f>
        <v>1</v>
      </c>
      <c r="AG42" s="3">
        <f>IF( AND(AG$3 &gt;= Вводные!$F171, AG$3 &lt;= Вводные!$G171), 1, 0)</f>
        <v>1</v>
      </c>
      <c r="AH42" s="3">
        <f>IF( AND(AH$3 &gt;= Вводные!$F171, AH$3 &lt;= Вводные!$G171), 1, 0)</f>
        <v>1</v>
      </c>
      <c r="AI42" s="3">
        <f>IF( AND(AI$3 &gt;= Вводные!$F171, AI$3 &lt;= Вводные!$G171), 1, 0)</f>
        <v>1</v>
      </c>
      <c r="AJ42" s="3">
        <f>IF( AND(AJ$3 &gt;= Вводные!$F171, AJ$3 &lt;= Вводные!$G171), 1, 0)</f>
        <v>1</v>
      </c>
      <c r="AK42" s="3">
        <f>IF( AND(AK$3 &gt;= Вводные!$F171, AK$3 &lt;= Вводные!$G171), 1, 0)</f>
        <v>1</v>
      </c>
      <c r="AL42" s="3">
        <f>IF( AND(AL$3 &gt;= Вводные!$F171, AL$3 &lt;= Вводные!$G171), 1, 0)</f>
        <v>1</v>
      </c>
      <c r="AM42" s="3">
        <f>IF( AND(AM$3 &gt;= Вводные!$F171, AM$3 &lt;= Вводные!$G171), 1, 0)</f>
        <v>1</v>
      </c>
      <c r="AN42" s="3">
        <f>IF( AND(AN$3 &gt;= Вводные!$F171, AN$3 &lt;= Вводные!$G171), 1, 0)</f>
        <v>1</v>
      </c>
      <c r="AO42" s="3">
        <f>IF( AND(AO$3 &gt;= Вводные!$F171, AO$3 &lt;= Вводные!$G171), 1, 0)</f>
        <v>1</v>
      </c>
      <c r="AP42" s="3">
        <f>IF( AND(AP$3 &gt;= Вводные!$F171, AP$3 &lt;= Вводные!$G171), 1, 0)</f>
        <v>1</v>
      </c>
      <c r="AQ42" s="3">
        <f>IF( AND(AQ$3 &gt;= Вводные!$F171, AQ$3 &lt;= Вводные!$G171), 1, 0)</f>
        <v>1</v>
      </c>
      <c r="AR42" s="3">
        <f>IF( AND(AR$3 &gt;= Вводные!$F171, AR$3 &lt;= Вводные!$G171), 1, 0)</f>
        <v>1</v>
      </c>
      <c r="AS42" s="3">
        <f>IF( AND(AS$3 &gt;= Вводные!$F171, AS$3 &lt;= Вводные!$G171), 1, 0)</f>
        <v>1</v>
      </c>
      <c r="AT42" s="3">
        <f>IF( AND(AT$3 &gt;= Вводные!$F171, AT$3 &lt;= Вводные!$G171), 1, 0)</f>
        <v>1</v>
      </c>
      <c r="AU42" s="3">
        <f>IF( AND(AU$3 &gt;= Вводные!$F171, AU$3 &lt;= Вводные!$G171), 1, 0)</f>
        <v>1</v>
      </c>
      <c r="AV42" s="3">
        <f>IF( AND(AV$3 &gt;= Вводные!$F171, AV$3 &lt;= Вводные!$G171), 1, 0)</f>
        <v>1</v>
      </c>
      <c r="AW42" s="3">
        <f>IF( AND(AW$3 &gt;= Вводные!$F171, AW$3 &lt;= Вводные!$G171), 1, 0)</f>
        <v>1</v>
      </c>
      <c r="AX42" s="3">
        <f>IF( AND(AX$3 &gt;= Вводные!$F171, AX$3 &lt;= Вводные!$G171), 1, 0)</f>
        <v>1</v>
      </c>
      <c r="AY42" s="3">
        <f>IF( AND(AY$3 &gt;= Вводные!$F171, AY$3 &lt;= Вводные!$G171), 1, 0)</f>
        <v>1</v>
      </c>
      <c r="AZ42" s="3">
        <f>IF( AND(AZ$3 &gt;= Вводные!$F171, AZ$3 &lt;= Вводные!$G171), 1, 0)</f>
        <v>1</v>
      </c>
      <c r="BA42" s="3">
        <f>IF( AND(BA$3 &gt;= Вводные!$F171, BA$3 &lt;= Вводные!$G171), 1, 0)</f>
        <v>1</v>
      </c>
      <c r="BB42" s="3">
        <f>IF( AND(BB$3 &gt;= Вводные!$F171, BB$3 &lt;= Вводные!$G171), 1, 0)</f>
        <v>1</v>
      </c>
      <c r="BC42" s="3">
        <f>IF( AND(BC$3 &gt;= Вводные!$F171, BC$3 &lt;= Вводные!$G171), 1, 0)</f>
        <v>1</v>
      </c>
      <c r="BD42" s="3">
        <f>IF( AND(BD$3 &gt;= Вводные!$F171, BD$3 &lt;= Вводные!$G171), 1, 0)</f>
        <v>1</v>
      </c>
      <c r="BE42" s="3">
        <f>IF( AND(BE$3 &gt;= Вводные!$F171, BE$3 &lt;= Вводные!$G171), 1, 0)</f>
        <v>1</v>
      </c>
      <c r="BF42" s="3">
        <f>IF( AND(BF$3 &gt;= Вводные!$F171, BF$3 &lt;= Вводные!$G171), 1, 0)</f>
        <v>1</v>
      </c>
      <c r="BG42" s="3">
        <f>IF( AND(BG$3 &gt;= Вводные!$F171, BG$3 &lt;= Вводные!$G171), 1, 0)</f>
        <v>1</v>
      </c>
      <c r="BH42" s="3">
        <f>IF( AND(BH$3 &gt;= Вводные!$F171, BH$3 &lt;= Вводные!$G171), 1, 0)</f>
        <v>1</v>
      </c>
      <c r="BI42" s="3">
        <f>IF( AND(BI$3 &gt;= Вводные!$F171, BI$3 &lt;= Вводные!$G171), 1, 0)</f>
        <v>1</v>
      </c>
      <c r="BJ42" s="3">
        <f>IF( AND(BJ$3 &gt;= Вводные!$F171, BJ$3 &lt;= Вводные!$G171), 1, 0)</f>
        <v>1</v>
      </c>
    </row>
    <row r="43" spans="2:62" x14ac:dyDescent="0.15">
      <c r="D43" s="11" t="str">
        <f>Вводные!$D$124</f>
        <v>Ежегодный расход 9</v>
      </c>
      <c r="E43" s="12" t="s">
        <v>37</v>
      </c>
      <c r="J43" s="3">
        <f>IF( AND(J$3 &gt;= Вводные!$F172, J$3 &lt;= Вводные!$G172), 1, 0)</f>
        <v>1</v>
      </c>
      <c r="K43" s="3">
        <f>IF( AND(K$3 &gt;= Вводные!$F172, K$3 &lt;= Вводные!$G172), 1, 0)</f>
        <v>1</v>
      </c>
      <c r="L43" s="3">
        <f>IF( AND(L$3 &gt;= Вводные!$F172, L$3 &lt;= Вводные!$G172), 1, 0)</f>
        <v>1</v>
      </c>
      <c r="M43" s="3">
        <f>IF( AND(M$3 &gt;= Вводные!$F172, M$3 &lt;= Вводные!$G172), 1, 0)</f>
        <v>1</v>
      </c>
      <c r="N43" s="3">
        <f>IF( AND(N$3 &gt;= Вводные!$F172, N$3 &lt;= Вводные!$G172), 1, 0)</f>
        <v>1</v>
      </c>
      <c r="O43" s="3">
        <f>IF( AND(O$3 &gt;= Вводные!$F172, O$3 &lt;= Вводные!$G172), 1, 0)</f>
        <v>1</v>
      </c>
      <c r="P43" s="3">
        <f>IF( AND(P$3 &gt;= Вводные!$F172, P$3 &lt;= Вводные!$G172), 1, 0)</f>
        <v>1</v>
      </c>
      <c r="Q43" s="3">
        <f>IF( AND(Q$3 &gt;= Вводные!$F172, Q$3 &lt;= Вводные!$G172), 1, 0)</f>
        <v>1</v>
      </c>
      <c r="R43" s="3">
        <f>IF( AND(R$3 &gt;= Вводные!$F172, R$3 &lt;= Вводные!$G172), 1, 0)</f>
        <v>1</v>
      </c>
      <c r="S43" s="3">
        <f>IF( AND(S$3 &gt;= Вводные!$F172, S$3 &lt;= Вводные!$G172), 1, 0)</f>
        <v>1</v>
      </c>
      <c r="T43" s="3">
        <f>IF( AND(T$3 &gt;= Вводные!$F172, T$3 &lt;= Вводные!$G172), 1, 0)</f>
        <v>1</v>
      </c>
      <c r="U43" s="3">
        <f>IF( AND(U$3 &gt;= Вводные!$F172, U$3 &lt;= Вводные!$G172), 1, 0)</f>
        <v>1</v>
      </c>
      <c r="V43" s="3">
        <f>IF( AND(V$3 &gt;= Вводные!$F172, V$3 &lt;= Вводные!$G172), 1, 0)</f>
        <v>1</v>
      </c>
      <c r="W43" s="3">
        <f>IF( AND(W$3 &gt;= Вводные!$F172, W$3 &lt;= Вводные!$G172), 1, 0)</f>
        <v>1</v>
      </c>
      <c r="X43" s="3">
        <f>IF( AND(X$3 &gt;= Вводные!$F172, X$3 &lt;= Вводные!$G172), 1, 0)</f>
        <v>1</v>
      </c>
      <c r="Y43" s="3">
        <f>IF( AND(Y$3 &gt;= Вводные!$F172, Y$3 &lt;= Вводные!$G172), 1, 0)</f>
        <v>1</v>
      </c>
      <c r="Z43" s="3">
        <f>IF( AND(Z$3 &gt;= Вводные!$F172, Z$3 &lt;= Вводные!$G172), 1, 0)</f>
        <v>1</v>
      </c>
      <c r="AA43" s="3">
        <f>IF( AND(AA$3 &gt;= Вводные!$F172, AA$3 &lt;= Вводные!$G172), 1, 0)</f>
        <v>1</v>
      </c>
      <c r="AB43" s="3">
        <f>IF( AND(AB$3 &gt;= Вводные!$F172, AB$3 &lt;= Вводные!$G172), 1, 0)</f>
        <v>1</v>
      </c>
      <c r="AC43" s="3">
        <f>IF( AND(AC$3 &gt;= Вводные!$F172, AC$3 &lt;= Вводные!$G172), 1, 0)</f>
        <v>1</v>
      </c>
      <c r="AD43" s="3">
        <f>IF( AND(AD$3 &gt;= Вводные!$F172, AD$3 &lt;= Вводные!$G172), 1, 0)</f>
        <v>1</v>
      </c>
      <c r="AE43" s="3">
        <f>IF( AND(AE$3 &gt;= Вводные!$F172, AE$3 &lt;= Вводные!$G172), 1, 0)</f>
        <v>1</v>
      </c>
      <c r="AF43" s="3">
        <f>IF( AND(AF$3 &gt;= Вводные!$F172, AF$3 &lt;= Вводные!$G172), 1, 0)</f>
        <v>1</v>
      </c>
      <c r="AG43" s="3">
        <f>IF( AND(AG$3 &gt;= Вводные!$F172, AG$3 &lt;= Вводные!$G172), 1, 0)</f>
        <v>1</v>
      </c>
      <c r="AH43" s="3">
        <f>IF( AND(AH$3 &gt;= Вводные!$F172, AH$3 &lt;= Вводные!$G172), 1, 0)</f>
        <v>1</v>
      </c>
      <c r="AI43" s="3">
        <f>IF( AND(AI$3 &gt;= Вводные!$F172, AI$3 &lt;= Вводные!$G172), 1, 0)</f>
        <v>1</v>
      </c>
      <c r="AJ43" s="3">
        <f>IF( AND(AJ$3 &gt;= Вводные!$F172, AJ$3 &lt;= Вводные!$G172), 1, 0)</f>
        <v>1</v>
      </c>
      <c r="AK43" s="3">
        <f>IF( AND(AK$3 &gt;= Вводные!$F172, AK$3 &lt;= Вводные!$G172), 1, 0)</f>
        <v>1</v>
      </c>
      <c r="AL43" s="3">
        <f>IF( AND(AL$3 &gt;= Вводные!$F172, AL$3 &lt;= Вводные!$G172), 1, 0)</f>
        <v>1</v>
      </c>
      <c r="AM43" s="3">
        <f>IF( AND(AM$3 &gt;= Вводные!$F172, AM$3 &lt;= Вводные!$G172), 1, 0)</f>
        <v>1</v>
      </c>
      <c r="AN43" s="3">
        <f>IF( AND(AN$3 &gt;= Вводные!$F172, AN$3 &lt;= Вводные!$G172), 1, 0)</f>
        <v>1</v>
      </c>
      <c r="AO43" s="3">
        <f>IF( AND(AO$3 &gt;= Вводные!$F172, AO$3 &lt;= Вводные!$G172), 1, 0)</f>
        <v>1</v>
      </c>
      <c r="AP43" s="3">
        <f>IF( AND(AP$3 &gt;= Вводные!$F172, AP$3 &lt;= Вводные!$G172), 1, 0)</f>
        <v>1</v>
      </c>
      <c r="AQ43" s="3">
        <f>IF( AND(AQ$3 &gt;= Вводные!$F172, AQ$3 &lt;= Вводные!$G172), 1, 0)</f>
        <v>1</v>
      </c>
      <c r="AR43" s="3">
        <f>IF( AND(AR$3 &gt;= Вводные!$F172, AR$3 &lt;= Вводные!$G172), 1, 0)</f>
        <v>1</v>
      </c>
      <c r="AS43" s="3">
        <f>IF( AND(AS$3 &gt;= Вводные!$F172, AS$3 &lt;= Вводные!$G172), 1, 0)</f>
        <v>1</v>
      </c>
      <c r="AT43" s="3">
        <f>IF( AND(AT$3 &gt;= Вводные!$F172, AT$3 &lt;= Вводные!$G172), 1, 0)</f>
        <v>1</v>
      </c>
      <c r="AU43" s="3">
        <f>IF( AND(AU$3 &gt;= Вводные!$F172, AU$3 &lt;= Вводные!$G172), 1, 0)</f>
        <v>1</v>
      </c>
      <c r="AV43" s="3">
        <f>IF( AND(AV$3 &gt;= Вводные!$F172, AV$3 &lt;= Вводные!$G172), 1, 0)</f>
        <v>1</v>
      </c>
      <c r="AW43" s="3">
        <f>IF( AND(AW$3 &gt;= Вводные!$F172, AW$3 &lt;= Вводные!$G172), 1, 0)</f>
        <v>1</v>
      </c>
      <c r="AX43" s="3">
        <f>IF( AND(AX$3 &gt;= Вводные!$F172, AX$3 &lt;= Вводные!$G172), 1, 0)</f>
        <v>1</v>
      </c>
      <c r="AY43" s="3">
        <f>IF( AND(AY$3 &gt;= Вводные!$F172, AY$3 &lt;= Вводные!$G172), 1, 0)</f>
        <v>1</v>
      </c>
      <c r="AZ43" s="3">
        <f>IF( AND(AZ$3 &gt;= Вводные!$F172, AZ$3 &lt;= Вводные!$G172), 1, 0)</f>
        <v>1</v>
      </c>
      <c r="BA43" s="3">
        <f>IF( AND(BA$3 &gt;= Вводные!$F172, BA$3 &lt;= Вводные!$G172), 1, 0)</f>
        <v>1</v>
      </c>
      <c r="BB43" s="3">
        <f>IF( AND(BB$3 &gt;= Вводные!$F172, BB$3 &lt;= Вводные!$G172), 1, 0)</f>
        <v>1</v>
      </c>
      <c r="BC43" s="3">
        <f>IF( AND(BC$3 &gt;= Вводные!$F172, BC$3 &lt;= Вводные!$G172), 1, 0)</f>
        <v>1</v>
      </c>
      <c r="BD43" s="3">
        <f>IF( AND(BD$3 &gt;= Вводные!$F172, BD$3 &lt;= Вводные!$G172), 1, 0)</f>
        <v>1</v>
      </c>
      <c r="BE43" s="3">
        <f>IF( AND(BE$3 &gt;= Вводные!$F172, BE$3 &lt;= Вводные!$G172), 1, 0)</f>
        <v>1</v>
      </c>
      <c r="BF43" s="3">
        <f>IF( AND(BF$3 &gt;= Вводные!$F172, BF$3 &lt;= Вводные!$G172), 1, 0)</f>
        <v>1</v>
      </c>
      <c r="BG43" s="3">
        <f>IF( AND(BG$3 &gt;= Вводные!$F172, BG$3 &lt;= Вводные!$G172), 1, 0)</f>
        <v>1</v>
      </c>
      <c r="BH43" s="3">
        <f>IF( AND(BH$3 &gt;= Вводные!$F172, BH$3 &lt;= Вводные!$G172), 1, 0)</f>
        <v>1</v>
      </c>
      <c r="BI43" s="3">
        <f>IF( AND(BI$3 &gt;= Вводные!$F172, BI$3 &lt;= Вводные!$G172), 1, 0)</f>
        <v>1</v>
      </c>
      <c r="BJ43" s="3">
        <f>IF( AND(BJ$3 &gt;= Вводные!$F172, BJ$3 &lt;= Вводные!$G172), 1, 0)</f>
        <v>1</v>
      </c>
    </row>
    <row r="44" spans="2:62" x14ac:dyDescent="0.15">
      <c r="D44" s="11" t="str">
        <f>Вводные!$D$125</f>
        <v>Ежегодный расход 10</v>
      </c>
      <c r="E44" s="12" t="s">
        <v>37</v>
      </c>
      <c r="J44" s="3">
        <f>IF( AND(J$3 &gt;= Вводные!$F173, J$3 &lt;= Вводные!$G173), 1, 0)</f>
        <v>1</v>
      </c>
      <c r="K44" s="3">
        <f>IF( AND(K$3 &gt;= Вводные!$F173, K$3 &lt;= Вводные!$G173), 1, 0)</f>
        <v>1</v>
      </c>
      <c r="L44" s="3">
        <f>IF( AND(L$3 &gt;= Вводные!$F173, L$3 &lt;= Вводные!$G173), 1, 0)</f>
        <v>1</v>
      </c>
      <c r="M44" s="3">
        <f>IF( AND(M$3 &gt;= Вводные!$F173, M$3 &lt;= Вводные!$G173), 1, 0)</f>
        <v>1</v>
      </c>
      <c r="N44" s="3">
        <f>IF( AND(N$3 &gt;= Вводные!$F173, N$3 &lt;= Вводные!$G173), 1, 0)</f>
        <v>1</v>
      </c>
      <c r="O44" s="3">
        <f>IF( AND(O$3 &gt;= Вводные!$F173, O$3 &lt;= Вводные!$G173), 1, 0)</f>
        <v>1</v>
      </c>
      <c r="P44" s="3">
        <f>IF( AND(P$3 &gt;= Вводные!$F173, P$3 &lt;= Вводные!$G173), 1, 0)</f>
        <v>1</v>
      </c>
      <c r="Q44" s="3">
        <f>IF( AND(Q$3 &gt;= Вводные!$F173, Q$3 &lt;= Вводные!$G173), 1, 0)</f>
        <v>1</v>
      </c>
      <c r="R44" s="3">
        <f>IF( AND(R$3 &gt;= Вводные!$F173, R$3 &lt;= Вводные!$G173), 1, 0)</f>
        <v>1</v>
      </c>
      <c r="S44" s="3">
        <f>IF( AND(S$3 &gt;= Вводные!$F173, S$3 &lt;= Вводные!$G173), 1, 0)</f>
        <v>1</v>
      </c>
      <c r="T44" s="3">
        <f>IF( AND(T$3 &gt;= Вводные!$F173, T$3 &lt;= Вводные!$G173), 1, 0)</f>
        <v>1</v>
      </c>
      <c r="U44" s="3">
        <f>IF( AND(U$3 &gt;= Вводные!$F173, U$3 &lt;= Вводные!$G173), 1, 0)</f>
        <v>1</v>
      </c>
      <c r="V44" s="3">
        <f>IF( AND(V$3 &gt;= Вводные!$F173, V$3 &lt;= Вводные!$G173), 1, 0)</f>
        <v>1</v>
      </c>
      <c r="W44" s="3">
        <f>IF( AND(W$3 &gt;= Вводные!$F173, W$3 &lt;= Вводные!$G173), 1, 0)</f>
        <v>1</v>
      </c>
      <c r="X44" s="3">
        <f>IF( AND(X$3 &gt;= Вводные!$F173, X$3 &lt;= Вводные!$G173), 1, 0)</f>
        <v>1</v>
      </c>
      <c r="Y44" s="3">
        <f>IF( AND(Y$3 &gt;= Вводные!$F173, Y$3 &lt;= Вводные!$G173), 1, 0)</f>
        <v>1</v>
      </c>
      <c r="Z44" s="3">
        <f>IF( AND(Z$3 &gt;= Вводные!$F173, Z$3 &lt;= Вводные!$G173), 1, 0)</f>
        <v>1</v>
      </c>
      <c r="AA44" s="3">
        <f>IF( AND(AA$3 &gt;= Вводные!$F173, AA$3 &lt;= Вводные!$G173), 1, 0)</f>
        <v>1</v>
      </c>
      <c r="AB44" s="3">
        <f>IF( AND(AB$3 &gt;= Вводные!$F173, AB$3 &lt;= Вводные!$G173), 1, 0)</f>
        <v>1</v>
      </c>
      <c r="AC44" s="3">
        <f>IF( AND(AC$3 &gt;= Вводные!$F173, AC$3 &lt;= Вводные!$G173), 1, 0)</f>
        <v>1</v>
      </c>
      <c r="AD44" s="3">
        <f>IF( AND(AD$3 &gt;= Вводные!$F173, AD$3 &lt;= Вводные!$G173), 1, 0)</f>
        <v>1</v>
      </c>
      <c r="AE44" s="3">
        <f>IF( AND(AE$3 &gt;= Вводные!$F173, AE$3 &lt;= Вводные!$G173), 1, 0)</f>
        <v>1</v>
      </c>
      <c r="AF44" s="3">
        <f>IF( AND(AF$3 &gt;= Вводные!$F173, AF$3 &lt;= Вводные!$G173), 1, 0)</f>
        <v>1</v>
      </c>
      <c r="AG44" s="3">
        <f>IF( AND(AG$3 &gt;= Вводные!$F173, AG$3 &lt;= Вводные!$G173), 1, 0)</f>
        <v>1</v>
      </c>
      <c r="AH44" s="3">
        <f>IF( AND(AH$3 &gt;= Вводные!$F173, AH$3 &lt;= Вводные!$G173), 1, 0)</f>
        <v>1</v>
      </c>
      <c r="AI44" s="3">
        <f>IF( AND(AI$3 &gt;= Вводные!$F173, AI$3 &lt;= Вводные!$G173), 1, 0)</f>
        <v>1</v>
      </c>
      <c r="AJ44" s="3">
        <f>IF( AND(AJ$3 &gt;= Вводные!$F173, AJ$3 &lt;= Вводные!$G173), 1, 0)</f>
        <v>1</v>
      </c>
      <c r="AK44" s="3">
        <f>IF( AND(AK$3 &gt;= Вводные!$F173, AK$3 &lt;= Вводные!$G173), 1, 0)</f>
        <v>1</v>
      </c>
      <c r="AL44" s="3">
        <f>IF( AND(AL$3 &gt;= Вводные!$F173, AL$3 &lt;= Вводные!$G173), 1, 0)</f>
        <v>1</v>
      </c>
      <c r="AM44" s="3">
        <f>IF( AND(AM$3 &gt;= Вводные!$F173, AM$3 &lt;= Вводные!$G173), 1, 0)</f>
        <v>1</v>
      </c>
      <c r="AN44" s="3">
        <f>IF( AND(AN$3 &gt;= Вводные!$F173, AN$3 &lt;= Вводные!$G173), 1, 0)</f>
        <v>1</v>
      </c>
      <c r="AO44" s="3">
        <f>IF( AND(AO$3 &gt;= Вводные!$F173, AO$3 &lt;= Вводные!$G173), 1, 0)</f>
        <v>1</v>
      </c>
      <c r="AP44" s="3">
        <f>IF( AND(AP$3 &gt;= Вводные!$F173, AP$3 &lt;= Вводные!$G173), 1, 0)</f>
        <v>1</v>
      </c>
      <c r="AQ44" s="3">
        <f>IF( AND(AQ$3 &gt;= Вводные!$F173, AQ$3 &lt;= Вводные!$G173), 1, 0)</f>
        <v>1</v>
      </c>
      <c r="AR44" s="3">
        <f>IF( AND(AR$3 &gt;= Вводные!$F173, AR$3 &lt;= Вводные!$G173), 1, 0)</f>
        <v>1</v>
      </c>
      <c r="AS44" s="3">
        <f>IF( AND(AS$3 &gt;= Вводные!$F173, AS$3 &lt;= Вводные!$G173), 1, 0)</f>
        <v>1</v>
      </c>
      <c r="AT44" s="3">
        <f>IF( AND(AT$3 &gt;= Вводные!$F173, AT$3 &lt;= Вводные!$G173), 1, 0)</f>
        <v>1</v>
      </c>
      <c r="AU44" s="3">
        <f>IF( AND(AU$3 &gt;= Вводные!$F173, AU$3 &lt;= Вводные!$G173), 1, 0)</f>
        <v>1</v>
      </c>
      <c r="AV44" s="3">
        <f>IF( AND(AV$3 &gt;= Вводные!$F173, AV$3 &lt;= Вводные!$G173), 1, 0)</f>
        <v>1</v>
      </c>
      <c r="AW44" s="3">
        <f>IF( AND(AW$3 &gt;= Вводные!$F173, AW$3 &lt;= Вводные!$G173), 1, 0)</f>
        <v>1</v>
      </c>
      <c r="AX44" s="3">
        <f>IF( AND(AX$3 &gt;= Вводные!$F173, AX$3 &lt;= Вводные!$G173), 1, 0)</f>
        <v>1</v>
      </c>
      <c r="AY44" s="3">
        <f>IF( AND(AY$3 &gt;= Вводные!$F173, AY$3 &lt;= Вводные!$G173), 1, 0)</f>
        <v>1</v>
      </c>
      <c r="AZ44" s="3">
        <f>IF( AND(AZ$3 &gt;= Вводные!$F173, AZ$3 &lt;= Вводные!$G173), 1, 0)</f>
        <v>1</v>
      </c>
      <c r="BA44" s="3">
        <f>IF( AND(BA$3 &gt;= Вводные!$F173, BA$3 &lt;= Вводные!$G173), 1, 0)</f>
        <v>1</v>
      </c>
      <c r="BB44" s="3">
        <f>IF( AND(BB$3 &gt;= Вводные!$F173, BB$3 &lt;= Вводные!$G173), 1, 0)</f>
        <v>1</v>
      </c>
      <c r="BC44" s="3">
        <f>IF( AND(BC$3 &gt;= Вводные!$F173, BC$3 &lt;= Вводные!$G173), 1, 0)</f>
        <v>1</v>
      </c>
      <c r="BD44" s="3">
        <f>IF( AND(BD$3 &gt;= Вводные!$F173, BD$3 &lt;= Вводные!$G173), 1, 0)</f>
        <v>1</v>
      </c>
      <c r="BE44" s="3">
        <f>IF( AND(BE$3 &gt;= Вводные!$F173, BE$3 &lt;= Вводные!$G173), 1, 0)</f>
        <v>1</v>
      </c>
      <c r="BF44" s="3">
        <f>IF( AND(BF$3 &gt;= Вводные!$F173, BF$3 &lt;= Вводные!$G173), 1, 0)</f>
        <v>1</v>
      </c>
      <c r="BG44" s="3">
        <f>IF( AND(BG$3 &gt;= Вводные!$F173, BG$3 &lt;= Вводные!$G173), 1, 0)</f>
        <v>1</v>
      </c>
      <c r="BH44" s="3">
        <f>IF( AND(BH$3 &gt;= Вводные!$F173, BH$3 &lt;= Вводные!$G173), 1, 0)</f>
        <v>1</v>
      </c>
      <c r="BI44" s="3">
        <f>IF( AND(BI$3 &gt;= Вводные!$F173, BI$3 &lt;= Вводные!$G173), 1, 0)</f>
        <v>1</v>
      </c>
      <c r="BJ44" s="3">
        <f>IF( AND(BJ$3 &gt;= Вводные!$F173, BJ$3 &lt;= Вводные!$G173), 1, 0)</f>
        <v>1</v>
      </c>
    </row>
    <row r="45" spans="2:62" x14ac:dyDescent="0.15">
      <c r="E45" s="12"/>
    </row>
    <row r="46" spans="2:62" ht="12" x14ac:dyDescent="0.15">
      <c r="B46" s="1">
        <f>MAX( $B$7:B43 ) + 1</f>
        <v>2</v>
      </c>
      <c r="C46" s="1"/>
      <c r="D46" s="1" t="s">
        <v>12</v>
      </c>
      <c r="E46" s="13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</row>
    <row r="47" spans="2:62" x14ac:dyDescent="0.15">
      <c r="E47" s="12"/>
    </row>
    <row r="48" spans="2:62" ht="12" thickBot="1" x14ac:dyDescent="0.2">
      <c r="D48" s="8" t="s">
        <v>47</v>
      </c>
      <c r="E48" s="15" t="s">
        <v>110</v>
      </c>
      <c r="I48" s="24">
        <f>SUM(I52,I98)</f>
        <v>-117000</v>
      </c>
      <c r="J48" s="7">
        <f>SUM(J52,J98)</f>
        <v>-117000</v>
      </c>
      <c r="K48" s="7">
        <f t="shared" ref="K48:BJ48" si="0">SUM(K52,K98)</f>
        <v>-119880</v>
      </c>
      <c r="L48" s="7">
        <f t="shared" si="0"/>
        <v>-119846.40000000001</v>
      </c>
      <c r="M48" s="7">
        <f t="shared" si="0"/>
        <v>-122901.792</v>
      </c>
      <c r="N48" s="7">
        <f t="shared" si="0"/>
        <v>-126048.84576000003</v>
      </c>
      <c r="O48" s="7">
        <f t="shared" si="0"/>
        <v>-126290.31113280004</v>
      </c>
      <c r="P48" s="7">
        <f t="shared" si="0"/>
        <v>-129629.02046678402</v>
      </c>
      <c r="Q48" s="7">
        <f t="shared" si="0"/>
        <v>-133067.89108078752</v>
      </c>
      <c r="R48" s="7">
        <f t="shared" si="0"/>
        <v>-136609.92781321119</v>
      </c>
      <c r="S48" s="7">
        <f t="shared" si="0"/>
        <v>-140258.2256476075</v>
      </c>
      <c r="T48" s="7">
        <f t="shared" si="0"/>
        <v>-144015.97241703572</v>
      </c>
      <c r="U48" s="7">
        <f t="shared" si="0"/>
        <v>-147886.45158954684</v>
      </c>
      <c r="V48" s="7">
        <f t="shared" si="0"/>
        <v>-151873.04513723322</v>
      </c>
      <c r="W48" s="7">
        <f t="shared" si="0"/>
        <v>-155979.23649135022</v>
      </c>
      <c r="X48" s="7">
        <f t="shared" si="0"/>
        <v>-160208.61358609074</v>
      </c>
      <c r="Y48" s="7">
        <f t="shared" si="0"/>
        <v>-164564.87199367347</v>
      </c>
      <c r="Z48" s="7">
        <f t="shared" si="0"/>
        <v>-169051.81815348368</v>
      </c>
      <c r="AA48" s="7">
        <f t="shared" si="0"/>
        <v>-168714.82980127295</v>
      </c>
      <c r="AB48" s="7">
        <f t="shared" si="0"/>
        <v>-173326.27469531109</v>
      </c>
      <c r="AC48" s="7">
        <f t="shared" si="0"/>
        <v>-178076.06293617049</v>
      </c>
      <c r="AD48" s="7">
        <f t="shared" si="0"/>
        <v>-182968.34482425562</v>
      </c>
      <c r="AE48" s="7">
        <f t="shared" si="0"/>
        <v>-188007.39516898329</v>
      </c>
      <c r="AF48" s="7">
        <f t="shared" si="0"/>
        <v>-193197.6170240528</v>
      </c>
      <c r="AG48" s="7">
        <f t="shared" si="0"/>
        <v>-198543.54553477437</v>
      </c>
      <c r="AH48" s="7">
        <f t="shared" si="0"/>
        <v>-204049.85190081759</v>
      </c>
      <c r="AI48" s="7">
        <f t="shared" si="0"/>
        <v>-209721.34745784212</v>
      </c>
      <c r="AJ48" s="7">
        <f t="shared" si="0"/>
        <v>-215562.98788157743</v>
      </c>
      <c r="AK48" s="7">
        <f t="shared" si="0"/>
        <v>-206579.8775180247</v>
      </c>
      <c r="AL48" s="7">
        <f t="shared" si="0"/>
        <v>-212777.27384356543</v>
      </c>
      <c r="AM48" s="7">
        <f t="shared" si="0"/>
        <v>-219160.59205887243</v>
      </c>
      <c r="AN48" s="7">
        <f t="shared" si="0"/>
        <v>-225735.4098206386</v>
      </c>
      <c r="AO48" s="7">
        <f t="shared" si="0"/>
        <v>-232507.47211525775</v>
      </c>
      <c r="AP48" s="7">
        <f t="shared" si="0"/>
        <v>-239482.69627871559</v>
      </c>
      <c r="AQ48" s="7">
        <f t="shared" si="0"/>
        <v>-246667.17716707705</v>
      </c>
      <c r="AR48" s="7">
        <f t="shared" si="0"/>
        <v>-254067.19248208936</v>
      </c>
      <c r="AS48" s="7">
        <f t="shared" si="0"/>
        <v>-261689.20825655197</v>
      </c>
      <c r="AT48" s="7">
        <f t="shared" si="0"/>
        <v>-269539.88450424856</v>
      </c>
      <c r="AU48" s="7">
        <f t="shared" si="0"/>
        <v>-277626.08103937603</v>
      </c>
      <c r="AV48" s="7">
        <f t="shared" si="0"/>
        <v>-285954.86347055726</v>
      </c>
      <c r="AW48" s="7">
        <f t="shared" si="0"/>
        <v>-294533.50937467406</v>
      </c>
      <c r="AX48" s="7">
        <f t="shared" si="0"/>
        <v>-303369.51465591416</v>
      </c>
      <c r="AY48" s="7">
        <f t="shared" si="0"/>
        <v>-312470.60009559157</v>
      </c>
      <c r="AZ48" s="7">
        <f t="shared" si="0"/>
        <v>-321844.71809845936</v>
      </c>
      <c r="BA48" s="7">
        <f t="shared" si="0"/>
        <v>-331500.05964141316</v>
      </c>
      <c r="BB48" s="7">
        <f t="shared" si="0"/>
        <v>-341445.06143065559</v>
      </c>
      <c r="BC48" s="7">
        <f t="shared" si="0"/>
        <v>-351688.41327357531</v>
      </c>
      <c r="BD48" s="7">
        <f t="shared" si="0"/>
        <v>-362239.06567178259</v>
      </c>
      <c r="BE48" s="7">
        <f t="shared" si="0"/>
        <v>-373106.23764193605</v>
      </c>
      <c r="BF48" s="7">
        <f t="shared" si="0"/>
        <v>-384299.42477119417</v>
      </c>
      <c r="BG48" s="7">
        <f t="shared" si="0"/>
        <v>-395828.40751433006</v>
      </c>
      <c r="BH48" s="7">
        <f t="shared" si="0"/>
        <v>-407703.25973975996</v>
      </c>
      <c r="BI48" s="7">
        <f t="shared" si="0"/>
        <v>-419934.35753195279</v>
      </c>
      <c r="BJ48" s="7">
        <f t="shared" si="0"/>
        <v>-432532.38825791125</v>
      </c>
    </row>
    <row r="49" spans="3:62" ht="12" thickTop="1" x14ac:dyDescent="0.15">
      <c r="E49" s="12"/>
    </row>
    <row r="50" spans="3:62" x14ac:dyDescent="0.15">
      <c r="C50" s="2">
        <f>MAX( $B$7:C47 ) + 0.1</f>
        <v>2.1</v>
      </c>
      <c r="D50" s="2" t="s">
        <v>14</v>
      </c>
      <c r="E50" s="14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</row>
    <row r="51" spans="3:62" x14ac:dyDescent="0.15">
      <c r="E51" s="12"/>
    </row>
    <row r="52" spans="3:62" ht="12" thickBot="1" x14ac:dyDescent="0.2">
      <c r="D52" s="8" t="s">
        <v>14</v>
      </c>
      <c r="E52" s="15" t="s">
        <v>110</v>
      </c>
      <c r="I52" s="24">
        <f t="shared" ref="I52:AN52" si="1">SUM(I53:I72)</f>
        <v>-96000</v>
      </c>
      <c r="J52" s="7">
        <f t="shared" si="1"/>
        <v>-96000</v>
      </c>
      <c r="K52" s="7">
        <f t="shared" si="1"/>
        <v>-98520</v>
      </c>
      <c r="L52" s="7">
        <f t="shared" si="1"/>
        <v>-101115.6</v>
      </c>
      <c r="M52" s="7">
        <f t="shared" si="1"/>
        <v>-103789.068</v>
      </c>
      <c r="N52" s="7">
        <f t="shared" si="1"/>
        <v>-106542.74004000003</v>
      </c>
      <c r="O52" s="7">
        <f t="shared" si="1"/>
        <v>-109379.02224120003</v>
      </c>
      <c r="P52" s="7">
        <f t="shared" si="1"/>
        <v>-112300.39290843601</v>
      </c>
      <c r="Q52" s="7">
        <f t="shared" si="1"/>
        <v>-115309.4046956891</v>
      </c>
      <c r="R52" s="7">
        <f t="shared" si="1"/>
        <v>-118408.68683655979</v>
      </c>
      <c r="S52" s="7">
        <f t="shared" si="1"/>
        <v>-121600.94744165655</v>
      </c>
      <c r="T52" s="7">
        <f t="shared" si="1"/>
        <v>-124888.97586490627</v>
      </c>
      <c r="U52" s="7">
        <f t="shared" si="1"/>
        <v>-128275.64514085348</v>
      </c>
      <c r="V52" s="7">
        <f t="shared" si="1"/>
        <v>-131763.91449507908</v>
      </c>
      <c r="W52" s="7">
        <f t="shared" si="1"/>
        <v>-135356.83192993145</v>
      </c>
      <c r="X52" s="7">
        <f t="shared" si="1"/>
        <v>-139057.5368878294</v>
      </c>
      <c r="Y52" s="7">
        <f t="shared" si="1"/>
        <v>-142869.26299446428</v>
      </c>
      <c r="Z52" s="7">
        <f t="shared" si="1"/>
        <v>-146795.3408842982</v>
      </c>
      <c r="AA52" s="7">
        <f t="shared" si="1"/>
        <v>-150839.20111082718</v>
      </c>
      <c r="AB52" s="7">
        <f t="shared" si="1"/>
        <v>-155004.37714415195</v>
      </c>
      <c r="AC52" s="7">
        <f t="shared" si="1"/>
        <v>-159294.50845847657</v>
      </c>
      <c r="AD52" s="7">
        <f t="shared" si="1"/>
        <v>-163713.34371223088</v>
      </c>
      <c r="AE52" s="7">
        <f t="shared" si="1"/>
        <v>-168264.7440235978</v>
      </c>
      <c r="AF52" s="7">
        <f t="shared" si="1"/>
        <v>-172952.68634430575</v>
      </c>
      <c r="AG52" s="7">
        <f t="shared" si="1"/>
        <v>-177781.26693463491</v>
      </c>
      <c r="AH52" s="7">
        <f t="shared" si="1"/>
        <v>-182754.70494267397</v>
      </c>
      <c r="AI52" s="7">
        <f t="shared" si="1"/>
        <v>-187877.34609095418</v>
      </c>
      <c r="AJ52" s="7">
        <f t="shared" si="1"/>
        <v>-193153.66647368282</v>
      </c>
      <c r="AK52" s="7">
        <f t="shared" si="1"/>
        <v>-186588.27646789327</v>
      </c>
      <c r="AL52" s="7">
        <f t="shared" si="1"/>
        <v>-192185.92476193007</v>
      </c>
      <c r="AM52" s="7">
        <f t="shared" si="1"/>
        <v>-197951.50250478799</v>
      </c>
      <c r="AN52" s="7">
        <f t="shared" si="1"/>
        <v>-203890.04757993165</v>
      </c>
      <c r="AO52" s="7">
        <f t="shared" ref="AO52:BJ52" si="2">SUM(AO53:AO72)</f>
        <v>-210006.74900732958</v>
      </c>
      <c r="AP52" s="7">
        <f t="shared" si="2"/>
        <v>-216306.95147754956</v>
      </c>
      <c r="AQ52" s="7">
        <f t="shared" si="2"/>
        <v>-222796.16002187604</v>
      </c>
      <c r="AR52" s="7">
        <f t="shared" si="2"/>
        <v>-229480.04482253233</v>
      </c>
      <c r="AS52" s="7">
        <f t="shared" si="2"/>
        <v>-236364.44616720823</v>
      </c>
      <c r="AT52" s="7">
        <f t="shared" si="2"/>
        <v>-243455.37955222451</v>
      </c>
      <c r="AU52" s="7">
        <f t="shared" si="2"/>
        <v>-250759.04093879124</v>
      </c>
      <c r="AV52" s="7">
        <f t="shared" si="2"/>
        <v>-258281.81216695494</v>
      </c>
      <c r="AW52" s="7">
        <f t="shared" si="2"/>
        <v>-266030.26653196366</v>
      </c>
      <c r="AX52" s="7">
        <f t="shared" si="2"/>
        <v>-274011.17452792247</v>
      </c>
      <c r="AY52" s="7">
        <f t="shared" si="2"/>
        <v>-282231.50976376014</v>
      </c>
      <c r="AZ52" s="7">
        <f t="shared" si="2"/>
        <v>-290698.45505667297</v>
      </c>
      <c r="BA52" s="7">
        <f t="shared" si="2"/>
        <v>-299419.4087083732</v>
      </c>
      <c r="BB52" s="7">
        <f t="shared" si="2"/>
        <v>-308401.99096962443</v>
      </c>
      <c r="BC52" s="7">
        <f t="shared" si="2"/>
        <v>-317654.05069871317</v>
      </c>
      <c r="BD52" s="7">
        <f t="shared" si="2"/>
        <v>-327183.67221967463</v>
      </c>
      <c r="BE52" s="7">
        <f t="shared" si="2"/>
        <v>-336999.18238626485</v>
      </c>
      <c r="BF52" s="7">
        <f t="shared" si="2"/>
        <v>-347109.15785785281</v>
      </c>
      <c r="BG52" s="7">
        <f t="shared" si="2"/>
        <v>-357522.43259358843</v>
      </c>
      <c r="BH52" s="7">
        <f t="shared" si="2"/>
        <v>-368248.10557139607</v>
      </c>
      <c r="BI52" s="7">
        <f t="shared" si="2"/>
        <v>-379295.548738538</v>
      </c>
      <c r="BJ52" s="7">
        <f t="shared" si="2"/>
        <v>-390674.41520069406</v>
      </c>
    </row>
    <row r="53" spans="3:62" ht="12" thickTop="1" x14ac:dyDescent="0.15">
      <c r="D53" s="11" t="str">
        <f>Вводные!$D$70</f>
        <v>Еда</v>
      </c>
      <c r="E53" s="12" t="s">
        <v>110</v>
      </c>
      <c r="I53" s="22">
        <f>Вводные!F70 * Вводные!$F$12</f>
        <v>-12000</v>
      </c>
      <c r="J53" s="3">
        <f>$I53 * J75  * J13</f>
        <v>-12000</v>
      </c>
      <c r="K53" s="3">
        <f t="shared" ref="K53:BJ53" si="3">$I53 * K75  * K13</f>
        <v>-12360</v>
      </c>
      <c r="L53" s="3">
        <f t="shared" si="3"/>
        <v>-12730.8</v>
      </c>
      <c r="M53" s="3">
        <f t="shared" si="3"/>
        <v>-13112.724</v>
      </c>
      <c r="N53" s="3">
        <f t="shared" si="3"/>
        <v>-13506.105720000001</v>
      </c>
      <c r="O53" s="3">
        <f t="shared" si="3"/>
        <v>-13911.288891600001</v>
      </c>
      <c r="P53" s="3">
        <f t="shared" si="3"/>
        <v>-14328.627558348002</v>
      </c>
      <c r="Q53" s="3">
        <f t="shared" si="3"/>
        <v>-14758.486385098442</v>
      </c>
      <c r="R53" s="3">
        <f t="shared" si="3"/>
        <v>-15201.240976651396</v>
      </c>
      <c r="S53" s="3">
        <f t="shared" si="3"/>
        <v>-15657.278205950939</v>
      </c>
      <c r="T53" s="3">
        <f t="shared" si="3"/>
        <v>-16126.996552129467</v>
      </c>
      <c r="U53" s="3">
        <f t="shared" si="3"/>
        <v>-16610.806448693351</v>
      </c>
      <c r="V53" s="3">
        <f t="shared" si="3"/>
        <v>-17109.130642154152</v>
      </c>
      <c r="W53" s="3">
        <f t="shared" si="3"/>
        <v>-17622.404561418778</v>
      </c>
      <c r="X53" s="3">
        <f t="shared" si="3"/>
        <v>-18151.076698261342</v>
      </c>
      <c r="Y53" s="3">
        <f t="shared" si="3"/>
        <v>-18695.608999209184</v>
      </c>
      <c r="Z53" s="3">
        <f t="shared" si="3"/>
        <v>-19256.47726918546</v>
      </c>
      <c r="AA53" s="3">
        <f t="shared" si="3"/>
        <v>-19834.171587261026</v>
      </c>
      <c r="AB53" s="3">
        <f t="shared" si="3"/>
        <v>-20429.196734878853</v>
      </c>
      <c r="AC53" s="3">
        <f t="shared" si="3"/>
        <v>-21042.072636925222</v>
      </c>
      <c r="AD53" s="3">
        <f t="shared" si="3"/>
        <v>-21673.334816032981</v>
      </c>
      <c r="AE53" s="3">
        <f t="shared" si="3"/>
        <v>-22323.534860513973</v>
      </c>
      <c r="AF53" s="3">
        <f t="shared" si="3"/>
        <v>-22993.240906329393</v>
      </c>
      <c r="AG53" s="3">
        <f t="shared" si="3"/>
        <v>-23683.038133519276</v>
      </c>
      <c r="AH53" s="3">
        <f t="shared" si="3"/>
        <v>-24393.529277524853</v>
      </c>
      <c r="AI53" s="3">
        <f t="shared" si="3"/>
        <v>-25125.335155850596</v>
      </c>
      <c r="AJ53" s="3">
        <f t="shared" si="3"/>
        <v>-25879.09521052612</v>
      </c>
      <c r="AK53" s="3">
        <f t="shared" si="3"/>
        <v>-26655.468066841902</v>
      </c>
      <c r="AL53" s="3">
        <f t="shared" si="3"/>
        <v>-27455.13210884716</v>
      </c>
      <c r="AM53" s="3">
        <f t="shared" si="3"/>
        <v>-28278.786072112576</v>
      </c>
      <c r="AN53" s="3">
        <f t="shared" si="3"/>
        <v>-29127.149654275952</v>
      </c>
      <c r="AO53" s="3">
        <f t="shared" si="3"/>
        <v>-30000.964143904228</v>
      </c>
      <c r="AP53" s="3">
        <f t="shared" si="3"/>
        <v>-30900.99306822136</v>
      </c>
      <c r="AQ53" s="3">
        <f t="shared" si="3"/>
        <v>-31828.022860268</v>
      </c>
      <c r="AR53" s="3">
        <f t="shared" si="3"/>
        <v>-32782.863546076042</v>
      </c>
      <c r="AS53" s="3">
        <f t="shared" si="3"/>
        <v>-33766.349452458315</v>
      </c>
      <c r="AT53" s="3">
        <f t="shared" si="3"/>
        <v>-34779.339936032069</v>
      </c>
      <c r="AU53" s="3">
        <f t="shared" si="3"/>
        <v>-35822.720134113028</v>
      </c>
      <c r="AV53" s="3">
        <f t="shared" si="3"/>
        <v>-36897.401738136417</v>
      </c>
      <c r="AW53" s="3">
        <f t="shared" si="3"/>
        <v>-38004.323790280519</v>
      </c>
      <c r="AX53" s="3">
        <f t="shared" si="3"/>
        <v>-39144.453503988931</v>
      </c>
      <c r="AY53" s="3">
        <f t="shared" si="3"/>
        <v>-40318.787109108598</v>
      </c>
      <c r="AZ53" s="3">
        <f t="shared" si="3"/>
        <v>-41528.35072238186</v>
      </c>
      <c r="BA53" s="3">
        <f t="shared" si="3"/>
        <v>-42774.201244053314</v>
      </c>
      <c r="BB53" s="3">
        <f t="shared" si="3"/>
        <v>-44057.427281374919</v>
      </c>
      <c r="BC53" s="3">
        <f t="shared" si="3"/>
        <v>-45379.150099816172</v>
      </c>
      <c r="BD53" s="3">
        <f t="shared" si="3"/>
        <v>-46740.524602810656</v>
      </c>
      <c r="BE53" s="3">
        <f t="shared" si="3"/>
        <v>-48142.740340894983</v>
      </c>
      <c r="BF53" s="3">
        <f t="shared" si="3"/>
        <v>-49587.02255112183</v>
      </c>
      <c r="BG53" s="3">
        <f t="shared" si="3"/>
        <v>-51074.633227655489</v>
      </c>
      <c r="BH53" s="3">
        <f t="shared" si="3"/>
        <v>-52606.872224485152</v>
      </c>
      <c r="BI53" s="3">
        <f t="shared" si="3"/>
        <v>-54185.078391219708</v>
      </c>
      <c r="BJ53" s="3">
        <f t="shared" si="3"/>
        <v>-55810.630742956295</v>
      </c>
    </row>
    <row r="54" spans="3:62" x14ac:dyDescent="0.15">
      <c r="D54" s="11" t="str">
        <f>Вводные!$D$71</f>
        <v>Садик</v>
      </c>
      <c r="E54" s="12" t="s">
        <v>110</v>
      </c>
      <c r="I54" s="22">
        <f>Вводные!F71 * Вводные!$F$12</f>
        <v>-12000</v>
      </c>
      <c r="J54" s="3">
        <f t="shared" ref="J54:BJ54" si="4">$I54 * J76  * J14</f>
        <v>-12000</v>
      </c>
      <c r="K54" s="3">
        <f t="shared" si="4"/>
        <v>-12360</v>
      </c>
      <c r="L54" s="3">
        <f t="shared" si="4"/>
        <v>-12730.8</v>
      </c>
      <c r="M54" s="3">
        <f t="shared" si="4"/>
        <v>-13112.724</v>
      </c>
      <c r="N54" s="3">
        <f t="shared" si="4"/>
        <v>-13506.105720000001</v>
      </c>
      <c r="O54" s="3">
        <f t="shared" si="4"/>
        <v>-13911.288891600001</v>
      </c>
      <c r="P54" s="3">
        <f t="shared" si="4"/>
        <v>-14328.627558348002</v>
      </c>
      <c r="Q54" s="3">
        <f t="shared" si="4"/>
        <v>-14758.486385098442</v>
      </c>
      <c r="R54" s="3">
        <f t="shared" si="4"/>
        <v>-15201.240976651396</v>
      </c>
      <c r="S54" s="3">
        <f t="shared" si="4"/>
        <v>-15657.278205950939</v>
      </c>
      <c r="T54" s="3">
        <f t="shared" si="4"/>
        <v>-16126.996552129467</v>
      </c>
      <c r="U54" s="3">
        <f t="shared" si="4"/>
        <v>-16610.806448693351</v>
      </c>
      <c r="V54" s="3">
        <f t="shared" si="4"/>
        <v>-17109.130642154152</v>
      </c>
      <c r="W54" s="3">
        <f t="shared" si="4"/>
        <v>-17622.404561418778</v>
      </c>
      <c r="X54" s="3">
        <f t="shared" si="4"/>
        <v>-18151.076698261342</v>
      </c>
      <c r="Y54" s="3">
        <f t="shared" si="4"/>
        <v>-18695.608999209184</v>
      </c>
      <c r="Z54" s="3">
        <f t="shared" si="4"/>
        <v>-19256.47726918546</v>
      </c>
      <c r="AA54" s="3">
        <f t="shared" si="4"/>
        <v>-19834.171587261026</v>
      </c>
      <c r="AB54" s="3">
        <f t="shared" si="4"/>
        <v>-20429.196734878853</v>
      </c>
      <c r="AC54" s="3">
        <f t="shared" si="4"/>
        <v>-21042.072636925222</v>
      </c>
      <c r="AD54" s="3">
        <f t="shared" si="4"/>
        <v>-21673.334816032981</v>
      </c>
      <c r="AE54" s="3">
        <f t="shared" si="4"/>
        <v>-22323.534860513973</v>
      </c>
      <c r="AF54" s="3">
        <f t="shared" si="4"/>
        <v>-22993.240906329393</v>
      </c>
      <c r="AG54" s="3">
        <f t="shared" si="4"/>
        <v>-23683.038133519276</v>
      </c>
      <c r="AH54" s="3">
        <f t="shared" si="4"/>
        <v>-24393.529277524853</v>
      </c>
      <c r="AI54" s="3">
        <f t="shared" si="4"/>
        <v>-25125.335155850596</v>
      </c>
      <c r="AJ54" s="3">
        <f t="shared" si="4"/>
        <v>-25879.09521052612</v>
      </c>
      <c r="AK54" s="3">
        <f t="shared" si="4"/>
        <v>-26655.468066841902</v>
      </c>
      <c r="AL54" s="3">
        <f t="shared" si="4"/>
        <v>-27455.13210884716</v>
      </c>
      <c r="AM54" s="3">
        <f t="shared" si="4"/>
        <v>-28278.786072112576</v>
      </c>
      <c r="AN54" s="3">
        <f t="shared" si="4"/>
        <v>-29127.149654275952</v>
      </c>
      <c r="AO54" s="3">
        <f t="shared" si="4"/>
        <v>-30000.964143904228</v>
      </c>
      <c r="AP54" s="3">
        <f t="shared" si="4"/>
        <v>-30900.99306822136</v>
      </c>
      <c r="AQ54" s="3">
        <f t="shared" si="4"/>
        <v>-31828.022860268</v>
      </c>
      <c r="AR54" s="3">
        <f t="shared" si="4"/>
        <v>-32782.863546076042</v>
      </c>
      <c r="AS54" s="3">
        <f t="shared" si="4"/>
        <v>-33766.349452458315</v>
      </c>
      <c r="AT54" s="3">
        <f t="shared" si="4"/>
        <v>-34779.339936032069</v>
      </c>
      <c r="AU54" s="3">
        <f t="shared" si="4"/>
        <v>-35822.720134113028</v>
      </c>
      <c r="AV54" s="3">
        <f t="shared" si="4"/>
        <v>-36897.401738136417</v>
      </c>
      <c r="AW54" s="3">
        <f t="shared" si="4"/>
        <v>-38004.323790280519</v>
      </c>
      <c r="AX54" s="3">
        <f t="shared" si="4"/>
        <v>-39144.453503988931</v>
      </c>
      <c r="AY54" s="3">
        <f t="shared" si="4"/>
        <v>-40318.787109108598</v>
      </c>
      <c r="AZ54" s="3">
        <f t="shared" si="4"/>
        <v>-41528.35072238186</v>
      </c>
      <c r="BA54" s="3">
        <f t="shared" si="4"/>
        <v>-42774.201244053314</v>
      </c>
      <c r="BB54" s="3">
        <f t="shared" si="4"/>
        <v>-44057.427281374919</v>
      </c>
      <c r="BC54" s="3">
        <f t="shared" si="4"/>
        <v>-45379.150099816172</v>
      </c>
      <c r="BD54" s="3">
        <f t="shared" si="4"/>
        <v>-46740.524602810656</v>
      </c>
      <c r="BE54" s="3">
        <f t="shared" si="4"/>
        <v>-48142.740340894983</v>
      </c>
      <c r="BF54" s="3">
        <f t="shared" si="4"/>
        <v>-49587.02255112183</v>
      </c>
      <c r="BG54" s="3">
        <f t="shared" si="4"/>
        <v>-51074.633227655489</v>
      </c>
      <c r="BH54" s="3">
        <f t="shared" si="4"/>
        <v>-52606.872224485152</v>
      </c>
      <c r="BI54" s="3">
        <f t="shared" si="4"/>
        <v>-54185.078391219708</v>
      </c>
      <c r="BJ54" s="3">
        <f t="shared" si="4"/>
        <v>-55810.630742956295</v>
      </c>
    </row>
    <row r="55" spans="3:62" x14ac:dyDescent="0.15">
      <c r="D55" s="11" t="str">
        <f>Вводные!$D$72</f>
        <v>Няня</v>
      </c>
      <c r="E55" s="12" t="s">
        <v>110</v>
      </c>
      <c r="I55" s="20">
        <f>Вводные!F72 * Вводные!$F$12</f>
        <v>-12000</v>
      </c>
      <c r="J55" s="3">
        <f t="shared" ref="J55:BJ55" si="5">$I55 * J77  * J15</f>
        <v>-12000</v>
      </c>
      <c r="K55" s="3">
        <f t="shared" si="5"/>
        <v>-12360</v>
      </c>
      <c r="L55" s="3">
        <f t="shared" si="5"/>
        <v>-12730.8</v>
      </c>
      <c r="M55" s="3">
        <f t="shared" si="5"/>
        <v>-13112.724</v>
      </c>
      <c r="N55" s="3">
        <f t="shared" si="5"/>
        <v>-13506.105720000001</v>
      </c>
      <c r="O55" s="3">
        <f t="shared" si="5"/>
        <v>-13911.288891600001</v>
      </c>
      <c r="P55" s="3">
        <f t="shared" si="5"/>
        <v>-14328.627558348002</v>
      </c>
      <c r="Q55" s="3">
        <f t="shared" si="5"/>
        <v>-14758.486385098442</v>
      </c>
      <c r="R55" s="3">
        <f t="shared" si="5"/>
        <v>-15201.240976651396</v>
      </c>
      <c r="S55" s="3">
        <f t="shared" si="5"/>
        <v>-15657.278205950939</v>
      </c>
      <c r="T55" s="3">
        <f t="shared" si="5"/>
        <v>-16126.996552129467</v>
      </c>
      <c r="U55" s="3">
        <f t="shared" si="5"/>
        <v>-16610.806448693351</v>
      </c>
      <c r="V55" s="3">
        <f t="shared" si="5"/>
        <v>-17109.130642154152</v>
      </c>
      <c r="W55" s="3">
        <f t="shared" si="5"/>
        <v>-17622.404561418778</v>
      </c>
      <c r="X55" s="3">
        <f t="shared" si="5"/>
        <v>-18151.076698261342</v>
      </c>
      <c r="Y55" s="3">
        <f t="shared" si="5"/>
        <v>-18695.608999209184</v>
      </c>
      <c r="Z55" s="3">
        <f t="shared" si="5"/>
        <v>-19256.47726918546</v>
      </c>
      <c r="AA55" s="3">
        <f t="shared" si="5"/>
        <v>-19834.171587261026</v>
      </c>
      <c r="AB55" s="3">
        <f t="shared" si="5"/>
        <v>-20429.196734878853</v>
      </c>
      <c r="AC55" s="3">
        <f t="shared" si="5"/>
        <v>-21042.072636925222</v>
      </c>
      <c r="AD55" s="3">
        <f t="shared" si="5"/>
        <v>-21673.334816032981</v>
      </c>
      <c r="AE55" s="3">
        <f t="shared" si="5"/>
        <v>-22323.534860513973</v>
      </c>
      <c r="AF55" s="3">
        <f t="shared" si="5"/>
        <v>-22993.240906329393</v>
      </c>
      <c r="AG55" s="3">
        <f t="shared" si="5"/>
        <v>-23683.038133519276</v>
      </c>
      <c r="AH55" s="3">
        <f t="shared" si="5"/>
        <v>-24393.529277524853</v>
      </c>
      <c r="AI55" s="3">
        <f t="shared" si="5"/>
        <v>-25125.335155850596</v>
      </c>
      <c r="AJ55" s="3">
        <f t="shared" si="5"/>
        <v>-25879.09521052612</v>
      </c>
      <c r="AK55" s="3">
        <f t="shared" si="5"/>
        <v>-26655.468066841902</v>
      </c>
      <c r="AL55" s="3">
        <f t="shared" si="5"/>
        <v>-27455.13210884716</v>
      </c>
      <c r="AM55" s="3">
        <f t="shared" si="5"/>
        <v>-28278.786072112576</v>
      </c>
      <c r="AN55" s="3">
        <f t="shared" si="5"/>
        <v>-29127.149654275952</v>
      </c>
      <c r="AO55" s="3">
        <f t="shared" si="5"/>
        <v>-30000.964143904228</v>
      </c>
      <c r="AP55" s="3">
        <f t="shared" si="5"/>
        <v>-30900.99306822136</v>
      </c>
      <c r="AQ55" s="3">
        <f t="shared" si="5"/>
        <v>-31828.022860268</v>
      </c>
      <c r="AR55" s="3">
        <f t="shared" si="5"/>
        <v>-32782.863546076042</v>
      </c>
      <c r="AS55" s="3">
        <f t="shared" si="5"/>
        <v>-33766.349452458315</v>
      </c>
      <c r="AT55" s="3">
        <f t="shared" si="5"/>
        <v>-34779.339936032069</v>
      </c>
      <c r="AU55" s="3">
        <f t="shared" si="5"/>
        <v>-35822.720134113028</v>
      </c>
      <c r="AV55" s="3">
        <f t="shared" si="5"/>
        <v>-36897.401738136417</v>
      </c>
      <c r="AW55" s="3">
        <f t="shared" si="5"/>
        <v>-38004.323790280519</v>
      </c>
      <c r="AX55" s="3">
        <f t="shared" si="5"/>
        <v>-39144.453503988931</v>
      </c>
      <c r="AY55" s="3">
        <f t="shared" si="5"/>
        <v>-40318.787109108598</v>
      </c>
      <c r="AZ55" s="3">
        <f t="shared" si="5"/>
        <v>-41528.35072238186</v>
      </c>
      <c r="BA55" s="3">
        <f t="shared" si="5"/>
        <v>-42774.201244053314</v>
      </c>
      <c r="BB55" s="3">
        <f t="shared" si="5"/>
        <v>-44057.427281374919</v>
      </c>
      <c r="BC55" s="3">
        <f t="shared" si="5"/>
        <v>-45379.150099816172</v>
      </c>
      <c r="BD55" s="3">
        <f t="shared" si="5"/>
        <v>-46740.524602810656</v>
      </c>
      <c r="BE55" s="3">
        <f t="shared" si="5"/>
        <v>-48142.740340894983</v>
      </c>
      <c r="BF55" s="3">
        <f t="shared" si="5"/>
        <v>-49587.02255112183</v>
      </c>
      <c r="BG55" s="3">
        <f t="shared" si="5"/>
        <v>-51074.633227655489</v>
      </c>
      <c r="BH55" s="3">
        <f t="shared" si="5"/>
        <v>-52606.872224485152</v>
      </c>
      <c r="BI55" s="3">
        <f t="shared" si="5"/>
        <v>-54185.078391219708</v>
      </c>
      <c r="BJ55" s="3">
        <f t="shared" si="5"/>
        <v>-55810.630742956295</v>
      </c>
    </row>
    <row r="56" spans="3:62" x14ac:dyDescent="0.15">
      <c r="D56" s="11" t="str">
        <f>Вводные!$D$73</f>
        <v>Ипотека</v>
      </c>
      <c r="E56" s="12" t="s">
        <v>110</v>
      </c>
      <c r="I56" s="20">
        <f>Вводные!F73 * Вводные!$F$12</f>
        <v>-12000</v>
      </c>
      <c r="J56" s="3">
        <f t="shared" ref="J56:BJ56" si="6">$I56 * J78  * J16</f>
        <v>-12000</v>
      </c>
      <c r="K56" s="3">
        <f t="shared" si="6"/>
        <v>-12000</v>
      </c>
      <c r="L56" s="3">
        <f t="shared" si="6"/>
        <v>-12000</v>
      </c>
      <c r="M56" s="3">
        <f t="shared" si="6"/>
        <v>-12000</v>
      </c>
      <c r="N56" s="3">
        <f t="shared" si="6"/>
        <v>-12000</v>
      </c>
      <c r="O56" s="3">
        <f t="shared" si="6"/>
        <v>-12000</v>
      </c>
      <c r="P56" s="3">
        <f t="shared" si="6"/>
        <v>-12000</v>
      </c>
      <c r="Q56" s="3">
        <f t="shared" si="6"/>
        <v>-12000</v>
      </c>
      <c r="R56" s="3">
        <f t="shared" si="6"/>
        <v>-12000</v>
      </c>
      <c r="S56" s="3">
        <f t="shared" si="6"/>
        <v>-12000</v>
      </c>
      <c r="T56" s="3">
        <f t="shared" si="6"/>
        <v>-12000</v>
      </c>
      <c r="U56" s="3">
        <f t="shared" si="6"/>
        <v>-12000</v>
      </c>
      <c r="V56" s="3">
        <f t="shared" si="6"/>
        <v>-12000</v>
      </c>
      <c r="W56" s="3">
        <f t="shared" si="6"/>
        <v>-12000</v>
      </c>
      <c r="X56" s="3">
        <f t="shared" si="6"/>
        <v>-12000</v>
      </c>
      <c r="Y56" s="3">
        <f t="shared" si="6"/>
        <v>-12000</v>
      </c>
      <c r="Z56" s="3">
        <f t="shared" si="6"/>
        <v>-12000</v>
      </c>
      <c r="AA56" s="3">
        <f t="shared" si="6"/>
        <v>-12000</v>
      </c>
      <c r="AB56" s="3">
        <f t="shared" si="6"/>
        <v>-12000</v>
      </c>
      <c r="AC56" s="3">
        <f t="shared" si="6"/>
        <v>-12000</v>
      </c>
      <c r="AD56" s="3">
        <f t="shared" si="6"/>
        <v>-12000</v>
      </c>
      <c r="AE56" s="3">
        <f t="shared" si="6"/>
        <v>-12000</v>
      </c>
      <c r="AF56" s="3">
        <f t="shared" si="6"/>
        <v>-12000</v>
      </c>
      <c r="AG56" s="3">
        <f t="shared" si="6"/>
        <v>-12000</v>
      </c>
      <c r="AH56" s="3">
        <f t="shared" si="6"/>
        <v>-12000</v>
      </c>
      <c r="AI56" s="3">
        <f t="shared" si="6"/>
        <v>-12000</v>
      </c>
      <c r="AJ56" s="3">
        <f t="shared" si="6"/>
        <v>-12000</v>
      </c>
      <c r="AK56" s="3">
        <f t="shared" si="6"/>
        <v>0</v>
      </c>
      <c r="AL56" s="3">
        <f t="shared" si="6"/>
        <v>0</v>
      </c>
      <c r="AM56" s="3">
        <f t="shared" si="6"/>
        <v>0</v>
      </c>
      <c r="AN56" s="3">
        <f t="shared" si="6"/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3">
        <f t="shared" si="6"/>
        <v>0</v>
      </c>
      <c r="AS56" s="3">
        <f t="shared" si="6"/>
        <v>0</v>
      </c>
      <c r="AT56" s="3">
        <f t="shared" si="6"/>
        <v>0</v>
      </c>
      <c r="AU56" s="3">
        <f t="shared" si="6"/>
        <v>0</v>
      </c>
      <c r="AV56" s="3">
        <f t="shared" si="6"/>
        <v>0</v>
      </c>
      <c r="AW56" s="3">
        <f t="shared" si="6"/>
        <v>0</v>
      </c>
      <c r="AX56" s="3">
        <f t="shared" si="6"/>
        <v>0</v>
      </c>
      <c r="AY56" s="3">
        <f t="shared" si="6"/>
        <v>0</v>
      </c>
      <c r="AZ56" s="3">
        <f t="shared" si="6"/>
        <v>0</v>
      </c>
      <c r="BA56" s="3">
        <f t="shared" si="6"/>
        <v>0</v>
      </c>
      <c r="BB56" s="3">
        <f t="shared" si="6"/>
        <v>0</v>
      </c>
      <c r="BC56" s="3">
        <f t="shared" si="6"/>
        <v>0</v>
      </c>
      <c r="BD56" s="3">
        <f t="shared" si="6"/>
        <v>0</v>
      </c>
      <c r="BE56" s="3">
        <f t="shared" si="6"/>
        <v>0</v>
      </c>
      <c r="BF56" s="3">
        <f t="shared" si="6"/>
        <v>0</v>
      </c>
      <c r="BG56" s="3">
        <f t="shared" si="6"/>
        <v>0</v>
      </c>
      <c r="BH56" s="3">
        <f t="shared" si="6"/>
        <v>0</v>
      </c>
      <c r="BI56" s="3">
        <f t="shared" si="6"/>
        <v>0</v>
      </c>
      <c r="BJ56" s="3">
        <f t="shared" si="6"/>
        <v>0</v>
      </c>
    </row>
    <row r="57" spans="3:62" x14ac:dyDescent="0.15">
      <c r="D57" s="11" t="str">
        <f>Вводные!$D$74</f>
        <v>Аренда квартиры + коммуналка</v>
      </c>
      <c r="E57" s="12" t="s">
        <v>110</v>
      </c>
      <c r="I57" s="20">
        <f>Вводные!F74 * Вводные!$F$12</f>
        <v>-12000</v>
      </c>
      <c r="J57" s="3">
        <f t="shared" ref="J57:BJ57" si="7">$I57 * J79  * J17</f>
        <v>-12000</v>
      </c>
      <c r="K57" s="3">
        <f t="shared" si="7"/>
        <v>-12360</v>
      </c>
      <c r="L57" s="3">
        <f t="shared" si="7"/>
        <v>-12730.8</v>
      </c>
      <c r="M57" s="3">
        <f t="shared" si="7"/>
        <v>-13112.724</v>
      </c>
      <c r="N57" s="3">
        <f t="shared" si="7"/>
        <v>-13506.105720000001</v>
      </c>
      <c r="O57" s="3">
        <f t="shared" si="7"/>
        <v>-13911.288891600001</v>
      </c>
      <c r="P57" s="3">
        <f t="shared" si="7"/>
        <v>-14328.627558348002</v>
      </c>
      <c r="Q57" s="3">
        <f t="shared" si="7"/>
        <v>-14758.486385098442</v>
      </c>
      <c r="R57" s="3">
        <f t="shared" si="7"/>
        <v>-15201.240976651396</v>
      </c>
      <c r="S57" s="3">
        <f t="shared" si="7"/>
        <v>-15657.278205950939</v>
      </c>
      <c r="T57" s="3">
        <f t="shared" si="7"/>
        <v>-16126.996552129467</v>
      </c>
      <c r="U57" s="3">
        <f t="shared" si="7"/>
        <v>-16610.806448693351</v>
      </c>
      <c r="V57" s="3">
        <f t="shared" si="7"/>
        <v>-17109.130642154152</v>
      </c>
      <c r="W57" s="3">
        <f t="shared" si="7"/>
        <v>-17622.404561418778</v>
      </c>
      <c r="X57" s="3">
        <f t="shared" si="7"/>
        <v>-18151.076698261342</v>
      </c>
      <c r="Y57" s="3">
        <f t="shared" si="7"/>
        <v>-18695.608999209184</v>
      </c>
      <c r="Z57" s="3">
        <f t="shared" si="7"/>
        <v>-19256.47726918546</v>
      </c>
      <c r="AA57" s="3">
        <f t="shared" si="7"/>
        <v>-19834.171587261026</v>
      </c>
      <c r="AB57" s="3">
        <f t="shared" si="7"/>
        <v>-20429.196734878853</v>
      </c>
      <c r="AC57" s="3">
        <f t="shared" si="7"/>
        <v>-21042.072636925222</v>
      </c>
      <c r="AD57" s="3">
        <f t="shared" si="7"/>
        <v>-21673.334816032981</v>
      </c>
      <c r="AE57" s="3">
        <f t="shared" si="7"/>
        <v>-22323.534860513973</v>
      </c>
      <c r="AF57" s="3">
        <f t="shared" si="7"/>
        <v>-22993.240906329393</v>
      </c>
      <c r="AG57" s="3">
        <f t="shared" si="7"/>
        <v>-23683.038133519276</v>
      </c>
      <c r="AH57" s="3">
        <f t="shared" si="7"/>
        <v>-24393.529277524853</v>
      </c>
      <c r="AI57" s="3">
        <f t="shared" si="7"/>
        <v>-25125.335155850596</v>
      </c>
      <c r="AJ57" s="3">
        <f t="shared" si="7"/>
        <v>-25879.09521052612</v>
      </c>
      <c r="AK57" s="3">
        <f t="shared" si="7"/>
        <v>-26655.468066841902</v>
      </c>
      <c r="AL57" s="3">
        <f t="shared" si="7"/>
        <v>-27455.13210884716</v>
      </c>
      <c r="AM57" s="3">
        <f t="shared" si="7"/>
        <v>-28278.786072112576</v>
      </c>
      <c r="AN57" s="3">
        <f t="shared" si="7"/>
        <v>-29127.149654275952</v>
      </c>
      <c r="AO57" s="3">
        <f t="shared" si="7"/>
        <v>-30000.964143904228</v>
      </c>
      <c r="AP57" s="3">
        <f t="shared" si="7"/>
        <v>-30900.99306822136</v>
      </c>
      <c r="AQ57" s="3">
        <f t="shared" si="7"/>
        <v>-31828.022860268</v>
      </c>
      <c r="AR57" s="3">
        <f t="shared" si="7"/>
        <v>-32782.863546076042</v>
      </c>
      <c r="AS57" s="3">
        <f t="shared" si="7"/>
        <v>-33766.349452458315</v>
      </c>
      <c r="AT57" s="3">
        <f t="shared" si="7"/>
        <v>-34779.339936032069</v>
      </c>
      <c r="AU57" s="3">
        <f t="shared" si="7"/>
        <v>-35822.720134113028</v>
      </c>
      <c r="AV57" s="3">
        <f t="shared" si="7"/>
        <v>-36897.401738136417</v>
      </c>
      <c r="AW57" s="3">
        <f t="shared" si="7"/>
        <v>-38004.323790280519</v>
      </c>
      <c r="AX57" s="3">
        <f t="shared" si="7"/>
        <v>-39144.453503988931</v>
      </c>
      <c r="AY57" s="3">
        <f t="shared" si="7"/>
        <v>-40318.787109108598</v>
      </c>
      <c r="AZ57" s="3">
        <f t="shared" si="7"/>
        <v>-41528.35072238186</v>
      </c>
      <c r="BA57" s="3">
        <f t="shared" si="7"/>
        <v>-42774.201244053314</v>
      </c>
      <c r="BB57" s="3">
        <f t="shared" si="7"/>
        <v>-44057.427281374919</v>
      </c>
      <c r="BC57" s="3">
        <f t="shared" si="7"/>
        <v>-45379.150099816172</v>
      </c>
      <c r="BD57" s="3">
        <f t="shared" si="7"/>
        <v>-46740.524602810656</v>
      </c>
      <c r="BE57" s="3">
        <f t="shared" si="7"/>
        <v>-48142.740340894983</v>
      </c>
      <c r="BF57" s="3">
        <f t="shared" si="7"/>
        <v>-49587.02255112183</v>
      </c>
      <c r="BG57" s="3">
        <f t="shared" si="7"/>
        <v>-51074.633227655489</v>
      </c>
      <c r="BH57" s="3">
        <f t="shared" si="7"/>
        <v>-52606.872224485152</v>
      </c>
      <c r="BI57" s="3">
        <f t="shared" si="7"/>
        <v>-54185.078391219708</v>
      </c>
      <c r="BJ57" s="3">
        <f t="shared" si="7"/>
        <v>-55810.630742956295</v>
      </c>
    </row>
    <row r="58" spans="3:62" x14ac:dyDescent="0.15">
      <c r="D58" s="11" t="str">
        <f>Вводные!$D$75</f>
        <v>Связь + интернет</v>
      </c>
      <c r="E58" s="12" t="s">
        <v>110</v>
      </c>
      <c r="I58" s="20">
        <f>Вводные!F75 * Вводные!$F$12</f>
        <v>-12000</v>
      </c>
      <c r="J58" s="3">
        <f t="shared" ref="J58:BJ58" si="8">$I58 * J80  * J18</f>
        <v>-12000</v>
      </c>
      <c r="K58" s="3">
        <f t="shared" si="8"/>
        <v>-12360</v>
      </c>
      <c r="L58" s="3">
        <f t="shared" si="8"/>
        <v>-12730.8</v>
      </c>
      <c r="M58" s="3">
        <f t="shared" si="8"/>
        <v>-13112.724</v>
      </c>
      <c r="N58" s="3">
        <f t="shared" si="8"/>
        <v>-13506.105720000001</v>
      </c>
      <c r="O58" s="3">
        <f t="shared" si="8"/>
        <v>-13911.288891600001</v>
      </c>
      <c r="P58" s="3">
        <f t="shared" si="8"/>
        <v>-14328.627558348002</v>
      </c>
      <c r="Q58" s="3">
        <f t="shared" si="8"/>
        <v>-14758.486385098442</v>
      </c>
      <c r="R58" s="3">
        <f t="shared" si="8"/>
        <v>-15201.240976651396</v>
      </c>
      <c r="S58" s="3">
        <f t="shared" si="8"/>
        <v>-15657.278205950939</v>
      </c>
      <c r="T58" s="3">
        <f t="shared" si="8"/>
        <v>-16126.996552129467</v>
      </c>
      <c r="U58" s="3">
        <f t="shared" si="8"/>
        <v>-16610.806448693351</v>
      </c>
      <c r="V58" s="3">
        <f t="shared" si="8"/>
        <v>-17109.130642154152</v>
      </c>
      <c r="W58" s="3">
        <f t="shared" si="8"/>
        <v>-17622.404561418778</v>
      </c>
      <c r="X58" s="3">
        <f t="shared" si="8"/>
        <v>-18151.076698261342</v>
      </c>
      <c r="Y58" s="3">
        <f t="shared" si="8"/>
        <v>-18695.608999209184</v>
      </c>
      <c r="Z58" s="3">
        <f t="shared" si="8"/>
        <v>-19256.47726918546</v>
      </c>
      <c r="AA58" s="3">
        <f t="shared" si="8"/>
        <v>-19834.171587261026</v>
      </c>
      <c r="AB58" s="3">
        <f t="shared" si="8"/>
        <v>-20429.196734878853</v>
      </c>
      <c r="AC58" s="3">
        <f t="shared" si="8"/>
        <v>-21042.072636925222</v>
      </c>
      <c r="AD58" s="3">
        <f t="shared" si="8"/>
        <v>-21673.334816032981</v>
      </c>
      <c r="AE58" s="3">
        <f t="shared" si="8"/>
        <v>-22323.534860513973</v>
      </c>
      <c r="AF58" s="3">
        <f t="shared" si="8"/>
        <v>-22993.240906329393</v>
      </c>
      <c r="AG58" s="3">
        <f t="shared" si="8"/>
        <v>-23683.038133519276</v>
      </c>
      <c r="AH58" s="3">
        <f t="shared" si="8"/>
        <v>-24393.529277524853</v>
      </c>
      <c r="AI58" s="3">
        <f t="shared" si="8"/>
        <v>-25125.335155850596</v>
      </c>
      <c r="AJ58" s="3">
        <f t="shared" si="8"/>
        <v>-25879.09521052612</v>
      </c>
      <c r="AK58" s="3">
        <f t="shared" si="8"/>
        <v>-26655.468066841902</v>
      </c>
      <c r="AL58" s="3">
        <f t="shared" si="8"/>
        <v>-27455.13210884716</v>
      </c>
      <c r="AM58" s="3">
        <f t="shared" si="8"/>
        <v>-28278.786072112576</v>
      </c>
      <c r="AN58" s="3">
        <f t="shared" si="8"/>
        <v>-29127.149654275952</v>
      </c>
      <c r="AO58" s="3">
        <f t="shared" si="8"/>
        <v>-30000.964143904228</v>
      </c>
      <c r="AP58" s="3">
        <f t="shared" si="8"/>
        <v>-30900.99306822136</v>
      </c>
      <c r="AQ58" s="3">
        <f t="shared" si="8"/>
        <v>-31828.022860268</v>
      </c>
      <c r="AR58" s="3">
        <f t="shared" si="8"/>
        <v>-32782.863546076042</v>
      </c>
      <c r="AS58" s="3">
        <f t="shared" si="8"/>
        <v>-33766.349452458315</v>
      </c>
      <c r="AT58" s="3">
        <f t="shared" si="8"/>
        <v>-34779.339936032069</v>
      </c>
      <c r="AU58" s="3">
        <f t="shared" si="8"/>
        <v>-35822.720134113028</v>
      </c>
      <c r="AV58" s="3">
        <f t="shared" si="8"/>
        <v>-36897.401738136417</v>
      </c>
      <c r="AW58" s="3">
        <f t="shared" si="8"/>
        <v>-38004.323790280519</v>
      </c>
      <c r="AX58" s="3">
        <f t="shared" si="8"/>
        <v>-39144.453503988931</v>
      </c>
      <c r="AY58" s="3">
        <f t="shared" si="8"/>
        <v>-40318.787109108598</v>
      </c>
      <c r="AZ58" s="3">
        <f t="shared" si="8"/>
        <v>-41528.35072238186</v>
      </c>
      <c r="BA58" s="3">
        <f t="shared" si="8"/>
        <v>-42774.201244053314</v>
      </c>
      <c r="BB58" s="3">
        <f t="shared" si="8"/>
        <v>-44057.427281374919</v>
      </c>
      <c r="BC58" s="3">
        <f t="shared" si="8"/>
        <v>-45379.150099816172</v>
      </c>
      <c r="BD58" s="3">
        <f t="shared" si="8"/>
        <v>-46740.524602810656</v>
      </c>
      <c r="BE58" s="3">
        <f t="shared" si="8"/>
        <v>-48142.740340894983</v>
      </c>
      <c r="BF58" s="3">
        <f t="shared" si="8"/>
        <v>-49587.02255112183</v>
      </c>
      <c r="BG58" s="3">
        <f t="shared" si="8"/>
        <v>-51074.633227655489</v>
      </c>
      <c r="BH58" s="3">
        <f t="shared" si="8"/>
        <v>-52606.872224485152</v>
      </c>
      <c r="BI58" s="3">
        <f t="shared" si="8"/>
        <v>-54185.078391219708</v>
      </c>
      <c r="BJ58" s="3">
        <f t="shared" si="8"/>
        <v>-55810.630742956295</v>
      </c>
    </row>
    <row r="59" spans="3:62" x14ac:dyDescent="0.15">
      <c r="D59" s="11" t="str">
        <f>Вводные!$D$76</f>
        <v>Командировки</v>
      </c>
      <c r="E59" s="12" t="s">
        <v>110</v>
      </c>
      <c r="I59" s="20">
        <f>Вводные!F76 * Вводные!$F$12</f>
        <v>-12000</v>
      </c>
      <c r="J59" s="3">
        <f t="shared" ref="J59:BJ59" si="9">$I59 * J81  * J19</f>
        <v>-12000</v>
      </c>
      <c r="K59" s="3">
        <f t="shared" si="9"/>
        <v>-12360</v>
      </c>
      <c r="L59" s="3">
        <f t="shared" si="9"/>
        <v>-12730.8</v>
      </c>
      <c r="M59" s="3">
        <f t="shared" si="9"/>
        <v>-13112.724</v>
      </c>
      <c r="N59" s="3">
        <f t="shared" si="9"/>
        <v>-13506.105720000001</v>
      </c>
      <c r="O59" s="3">
        <f t="shared" si="9"/>
        <v>-13911.288891600001</v>
      </c>
      <c r="P59" s="3">
        <f t="shared" si="9"/>
        <v>-14328.627558348002</v>
      </c>
      <c r="Q59" s="3">
        <f t="shared" si="9"/>
        <v>-14758.486385098442</v>
      </c>
      <c r="R59" s="3">
        <f t="shared" si="9"/>
        <v>-15201.240976651396</v>
      </c>
      <c r="S59" s="3">
        <f t="shared" si="9"/>
        <v>-15657.278205950939</v>
      </c>
      <c r="T59" s="3">
        <f t="shared" si="9"/>
        <v>-16126.996552129467</v>
      </c>
      <c r="U59" s="3">
        <f t="shared" si="9"/>
        <v>-16610.806448693351</v>
      </c>
      <c r="V59" s="3">
        <f t="shared" si="9"/>
        <v>-17109.130642154152</v>
      </c>
      <c r="W59" s="3">
        <f t="shared" si="9"/>
        <v>-17622.404561418778</v>
      </c>
      <c r="X59" s="3">
        <f t="shared" si="9"/>
        <v>-18151.076698261342</v>
      </c>
      <c r="Y59" s="3">
        <f t="shared" si="9"/>
        <v>-18695.608999209184</v>
      </c>
      <c r="Z59" s="3">
        <f t="shared" si="9"/>
        <v>-19256.47726918546</v>
      </c>
      <c r="AA59" s="3">
        <f t="shared" si="9"/>
        <v>-19834.171587261026</v>
      </c>
      <c r="AB59" s="3">
        <f t="shared" si="9"/>
        <v>-20429.196734878853</v>
      </c>
      <c r="AC59" s="3">
        <f t="shared" si="9"/>
        <v>-21042.072636925222</v>
      </c>
      <c r="AD59" s="3">
        <f t="shared" si="9"/>
        <v>-21673.334816032981</v>
      </c>
      <c r="AE59" s="3">
        <f t="shared" si="9"/>
        <v>-22323.534860513973</v>
      </c>
      <c r="AF59" s="3">
        <f t="shared" si="9"/>
        <v>-22993.240906329393</v>
      </c>
      <c r="AG59" s="3">
        <f t="shared" si="9"/>
        <v>-23683.038133519276</v>
      </c>
      <c r="AH59" s="3">
        <f t="shared" si="9"/>
        <v>-24393.529277524853</v>
      </c>
      <c r="AI59" s="3">
        <f t="shared" si="9"/>
        <v>-25125.335155850596</v>
      </c>
      <c r="AJ59" s="3">
        <f t="shared" si="9"/>
        <v>-25879.09521052612</v>
      </c>
      <c r="AK59" s="3">
        <f t="shared" si="9"/>
        <v>-26655.468066841902</v>
      </c>
      <c r="AL59" s="3">
        <f t="shared" si="9"/>
        <v>-27455.13210884716</v>
      </c>
      <c r="AM59" s="3">
        <f t="shared" si="9"/>
        <v>-28278.786072112576</v>
      </c>
      <c r="AN59" s="3">
        <f t="shared" si="9"/>
        <v>-29127.149654275952</v>
      </c>
      <c r="AO59" s="3">
        <f t="shared" si="9"/>
        <v>-30000.964143904228</v>
      </c>
      <c r="AP59" s="3">
        <f t="shared" si="9"/>
        <v>-30900.99306822136</v>
      </c>
      <c r="AQ59" s="3">
        <f t="shared" si="9"/>
        <v>-31828.022860268</v>
      </c>
      <c r="AR59" s="3">
        <f t="shared" si="9"/>
        <v>-32782.863546076042</v>
      </c>
      <c r="AS59" s="3">
        <f t="shared" si="9"/>
        <v>-33766.349452458315</v>
      </c>
      <c r="AT59" s="3">
        <f t="shared" si="9"/>
        <v>-34779.339936032069</v>
      </c>
      <c r="AU59" s="3">
        <f t="shared" si="9"/>
        <v>-35822.720134113028</v>
      </c>
      <c r="AV59" s="3">
        <f t="shared" si="9"/>
        <v>-36897.401738136417</v>
      </c>
      <c r="AW59" s="3">
        <f t="shared" si="9"/>
        <v>-38004.323790280519</v>
      </c>
      <c r="AX59" s="3">
        <f t="shared" si="9"/>
        <v>-39144.453503988931</v>
      </c>
      <c r="AY59" s="3">
        <f t="shared" si="9"/>
        <v>-40318.787109108598</v>
      </c>
      <c r="AZ59" s="3">
        <f t="shared" si="9"/>
        <v>-41528.35072238186</v>
      </c>
      <c r="BA59" s="3">
        <f t="shared" si="9"/>
        <v>-42774.201244053314</v>
      </c>
      <c r="BB59" s="3">
        <f t="shared" si="9"/>
        <v>-44057.427281374919</v>
      </c>
      <c r="BC59" s="3">
        <f t="shared" si="9"/>
        <v>-45379.150099816172</v>
      </c>
      <c r="BD59" s="3">
        <f t="shared" si="9"/>
        <v>-46740.524602810656</v>
      </c>
      <c r="BE59" s="3">
        <f t="shared" si="9"/>
        <v>-48142.740340894983</v>
      </c>
      <c r="BF59" s="3">
        <f t="shared" si="9"/>
        <v>-49587.02255112183</v>
      </c>
      <c r="BG59" s="3">
        <f t="shared" si="9"/>
        <v>-51074.633227655489</v>
      </c>
      <c r="BH59" s="3">
        <f t="shared" si="9"/>
        <v>-52606.872224485152</v>
      </c>
      <c r="BI59" s="3">
        <f t="shared" si="9"/>
        <v>-54185.078391219708</v>
      </c>
      <c r="BJ59" s="3">
        <f t="shared" si="9"/>
        <v>-55810.630742956295</v>
      </c>
    </row>
    <row r="60" spans="3:62" x14ac:dyDescent="0.15">
      <c r="D60" s="11" t="str">
        <f>Вводные!$D$77</f>
        <v>Прочее</v>
      </c>
      <c r="E60" s="12" t="s">
        <v>110</v>
      </c>
      <c r="I60" s="20">
        <f>Вводные!F77 * Вводные!$F$12</f>
        <v>-12000</v>
      </c>
      <c r="J60" s="3">
        <f t="shared" ref="J60:BJ60" si="10">$I60 * J82  * J20</f>
        <v>-12000</v>
      </c>
      <c r="K60" s="3">
        <f t="shared" si="10"/>
        <v>-12360</v>
      </c>
      <c r="L60" s="3">
        <f t="shared" si="10"/>
        <v>-12730.8</v>
      </c>
      <c r="M60" s="3">
        <f t="shared" si="10"/>
        <v>-13112.724</v>
      </c>
      <c r="N60" s="3">
        <f t="shared" si="10"/>
        <v>-13506.105720000001</v>
      </c>
      <c r="O60" s="3">
        <f t="shared" si="10"/>
        <v>-13911.288891600001</v>
      </c>
      <c r="P60" s="3">
        <f t="shared" si="10"/>
        <v>-14328.627558348002</v>
      </c>
      <c r="Q60" s="3">
        <f t="shared" si="10"/>
        <v>-14758.486385098442</v>
      </c>
      <c r="R60" s="3">
        <f t="shared" si="10"/>
        <v>-15201.240976651396</v>
      </c>
      <c r="S60" s="3">
        <f t="shared" si="10"/>
        <v>-15657.278205950939</v>
      </c>
      <c r="T60" s="3">
        <f t="shared" si="10"/>
        <v>-16126.996552129467</v>
      </c>
      <c r="U60" s="3">
        <f t="shared" si="10"/>
        <v>-16610.806448693351</v>
      </c>
      <c r="V60" s="3">
        <f t="shared" si="10"/>
        <v>-17109.130642154152</v>
      </c>
      <c r="W60" s="3">
        <f t="shared" si="10"/>
        <v>-17622.404561418778</v>
      </c>
      <c r="X60" s="3">
        <f t="shared" si="10"/>
        <v>-18151.076698261342</v>
      </c>
      <c r="Y60" s="3">
        <f t="shared" si="10"/>
        <v>-18695.608999209184</v>
      </c>
      <c r="Z60" s="3">
        <f t="shared" si="10"/>
        <v>-19256.47726918546</v>
      </c>
      <c r="AA60" s="3">
        <f t="shared" si="10"/>
        <v>-19834.171587261026</v>
      </c>
      <c r="AB60" s="3">
        <f t="shared" si="10"/>
        <v>-20429.196734878853</v>
      </c>
      <c r="AC60" s="3">
        <f t="shared" si="10"/>
        <v>-21042.072636925222</v>
      </c>
      <c r="AD60" s="3">
        <f t="shared" si="10"/>
        <v>-21673.334816032981</v>
      </c>
      <c r="AE60" s="3">
        <f t="shared" si="10"/>
        <v>-22323.534860513973</v>
      </c>
      <c r="AF60" s="3">
        <f t="shared" si="10"/>
        <v>-22993.240906329393</v>
      </c>
      <c r="AG60" s="3">
        <f t="shared" si="10"/>
        <v>-23683.038133519276</v>
      </c>
      <c r="AH60" s="3">
        <f t="shared" si="10"/>
        <v>-24393.529277524853</v>
      </c>
      <c r="AI60" s="3">
        <f t="shared" si="10"/>
        <v>-25125.335155850596</v>
      </c>
      <c r="AJ60" s="3">
        <f t="shared" si="10"/>
        <v>-25879.09521052612</v>
      </c>
      <c r="AK60" s="3">
        <f t="shared" si="10"/>
        <v>-26655.468066841902</v>
      </c>
      <c r="AL60" s="3">
        <f t="shared" si="10"/>
        <v>-27455.13210884716</v>
      </c>
      <c r="AM60" s="3">
        <f t="shared" si="10"/>
        <v>-28278.786072112576</v>
      </c>
      <c r="AN60" s="3">
        <f t="shared" si="10"/>
        <v>-29127.149654275952</v>
      </c>
      <c r="AO60" s="3">
        <f t="shared" si="10"/>
        <v>-30000.964143904228</v>
      </c>
      <c r="AP60" s="3">
        <f t="shared" si="10"/>
        <v>-30900.99306822136</v>
      </c>
      <c r="AQ60" s="3">
        <f t="shared" si="10"/>
        <v>-31828.022860268</v>
      </c>
      <c r="AR60" s="3">
        <f t="shared" si="10"/>
        <v>-32782.863546076042</v>
      </c>
      <c r="AS60" s="3">
        <f t="shared" si="10"/>
        <v>-33766.349452458315</v>
      </c>
      <c r="AT60" s="3">
        <f t="shared" si="10"/>
        <v>-34779.339936032069</v>
      </c>
      <c r="AU60" s="3">
        <f t="shared" si="10"/>
        <v>-35822.720134113028</v>
      </c>
      <c r="AV60" s="3">
        <f t="shared" si="10"/>
        <v>-36897.401738136417</v>
      </c>
      <c r="AW60" s="3">
        <f t="shared" si="10"/>
        <v>-38004.323790280519</v>
      </c>
      <c r="AX60" s="3">
        <f t="shared" si="10"/>
        <v>-39144.453503988931</v>
      </c>
      <c r="AY60" s="3">
        <f t="shared" si="10"/>
        <v>-40318.787109108598</v>
      </c>
      <c r="AZ60" s="3">
        <f t="shared" si="10"/>
        <v>-41528.35072238186</v>
      </c>
      <c r="BA60" s="3">
        <f t="shared" si="10"/>
        <v>-42774.201244053314</v>
      </c>
      <c r="BB60" s="3">
        <f t="shared" si="10"/>
        <v>-44057.427281374919</v>
      </c>
      <c r="BC60" s="3">
        <f t="shared" si="10"/>
        <v>-45379.150099816172</v>
      </c>
      <c r="BD60" s="3">
        <f t="shared" si="10"/>
        <v>-46740.524602810656</v>
      </c>
      <c r="BE60" s="3">
        <f t="shared" si="10"/>
        <v>-48142.740340894983</v>
      </c>
      <c r="BF60" s="3">
        <f t="shared" si="10"/>
        <v>-49587.02255112183</v>
      </c>
      <c r="BG60" s="3">
        <f t="shared" si="10"/>
        <v>-51074.633227655489</v>
      </c>
      <c r="BH60" s="3">
        <f t="shared" si="10"/>
        <v>-52606.872224485152</v>
      </c>
      <c r="BI60" s="3">
        <f t="shared" si="10"/>
        <v>-54185.078391219708</v>
      </c>
      <c r="BJ60" s="3">
        <f t="shared" si="10"/>
        <v>-55810.630742956295</v>
      </c>
    </row>
    <row r="61" spans="3:62" x14ac:dyDescent="0.15">
      <c r="D61" s="11" t="str">
        <f>Вводные!$D$78</f>
        <v>Ежемесячный расход 9</v>
      </c>
      <c r="E61" s="12" t="s">
        <v>110</v>
      </c>
      <c r="I61" s="20">
        <f>Вводные!F78 * Вводные!$F$12</f>
        <v>0</v>
      </c>
      <c r="J61" s="3">
        <f t="shared" ref="J61:BJ61" si="11">$I61 * J83  * J21</f>
        <v>0</v>
      </c>
      <c r="K61" s="3">
        <f t="shared" si="11"/>
        <v>0</v>
      </c>
      <c r="L61" s="3">
        <f t="shared" si="11"/>
        <v>0</v>
      </c>
      <c r="M61" s="3">
        <f t="shared" si="11"/>
        <v>0</v>
      </c>
      <c r="N61" s="3">
        <f t="shared" si="11"/>
        <v>0</v>
      </c>
      <c r="O61" s="3">
        <f t="shared" si="11"/>
        <v>0</v>
      </c>
      <c r="P61" s="3">
        <f t="shared" si="11"/>
        <v>0</v>
      </c>
      <c r="Q61" s="3">
        <f t="shared" si="11"/>
        <v>0</v>
      </c>
      <c r="R61" s="3">
        <f t="shared" si="11"/>
        <v>0</v>
      </c>
      <c r="S61" s="3">
        <f t="shared" si="11"/>
        <v>0</v>
      </c>
      <c r="T61" s="3">
        <f t="shared" si="11"/>
        <v>0</v>
      </c>
      <c r="U61" s="3">
        <f t="shared" si="11"/>
        <v>0</v>
      </c>
      <c r="V61" s="3">
        <f t="shared" si="11"/>
        <v>0</v>
      </c>
      <c r="W61" s="3">
        <f t="shared" si="11"/>
        <v>0</v>
      </c>
      <c r="X61" s="3">
        <f t="shared" si="11"/>
        <v>0</v>
      </c>
      <c r="Y61" s="3">
        <f t="shared" si="11"/>
        <v>0</v>
      </c>
      <c r="Z61" s="3">
        <f t="shared" si="11"/>
        <v>0</v>
      </c>
      <c r="AA61" s="3">
        <f t="shared" si="11"/>
        <v>0</v>
      </c>
      <c r="AB61" s="3">
        <f t="shared" si="11"/>
        <v>0</v>
      </c>
      <c r="AC61" s="3">
        <f t="shared" si="11"/>
        <v>0</v>
      </c>
      <c r="AD61" s="3">
        <f t="shared" si="11"/>
        <v>0</v>
      </c>
      <c r="AE61" s="3">
        <f t="shared" si="11"/>
        <v>0</v>
      </c>
      <c r="AF61" s="3">
        <f t="shared" si="11"/>
        <v>0</v>
      </c>
      <c r="AG61" s="3">
        <f t="shared" si="11"/>
        <v>0</v>
      </c>
      <c r="AH61" s="3">
        <f t="shared" si="11"/>
        <v>0</v>
      </c>
      <c r="AI61" s="3">
        <f t="shared" si="11"/>
        <v>0</v>
      </c>
      <c r="AJ61" s="3">
        <f t="shared" si="11"/>
        <v>0</v>
      </c>
      <c r="AK61" s="3">
        <f t="shared" si="11"/>
        <v>0</v>
      </c>
      <c r="AL61" s="3">
        <f t="shared" si="11"/>
        <v>0</v>
      </c>
      <c r="AM61" s="3">
        <f t="shared" si="11"/>
        <v>0</v>
      </c>
      <c r="AN61" s="3">
        <f t="shared" si="11"/>
        <v>0</v>
      </c>
      <c r="AO61" s="3">
        <f t="shared" si="11"/>
        <v>0</v>
      </c>
      <c r="AP61" s="3">
        <f t="shared" si="11"/>
        <v>0</v>
      </c>
      <c r="AQ61" s="3">
        <f t="shared" si="11"/>
        <v>0</v>
      </c>
      <c r="AR61" s="3">
        <f t="shared" si="11"/>
        <v>0</v>
      </c>
      <c r="AS61" s="3">
        <f t="shared" si="11"/>
        <v>0</v>
      </c>
      <c r="AT61" s="3">
        <f t="shared" si="11"/>
        <v>0</v>
      </c>
      <c r="AU61" s="3">
        <f t="shared" si="11"/>
        <v>0</v>
      </c>
      <c r="AV61" s="3">
        <f t="shared" si="11"/>
        <v>0</v>
      </c>
      <c r="AW61" s="3">
        <f t="shared" si="11"/>
        <v>0</v>
      </c>
      <c r="AX61" s="3">
        <f t="shared" si="11"/>
        <v>0</v>
      </c>
      <c r="AY61" s="3">
        <f t="shared" si="11"/>
        <v>0</v>
      </c>
      <c r="AZ61" s="3">
        <f t="shared" si="11"/>
        <v>0</v>
      </c>
      <c r="BA61" s="3">
        <f t="shared" si="11"/>
        <v>0</v>
      </c>
      <c r="BB61" s="3">
        <f t="shared" si="11"/>
        <v>0</v>
      </c>
      <c r="BC61" s="3">
        <f t="shared" si="11"/>
        <v>0</v>
      </c>
      <c r="BD61" s="3">
        <f t="shared" si="11"/>
        <v>0</v>
      </c>
      <c r="BE61" s="3">
        <f t="shared" si="11"/>
        <v>0</v>
      </c>
      <c r="BF61" s="3">
        <f t="shared" si="11"/>
        <v>0</v>
      </c>
      <c r="BG61" s="3">
        <f t="shared" si="11"/>
        <v>0</v>
      </c>
      <c r="BH61" s="3">
        <f t="shared" si="11"/>
        <v>0</v>
      </c>
      <c r="BI61" s="3">
        <f t="shared" si="11"/>
        <v>0</v>
      </c>
      <c r="BJ61" s="3">
        <f t="shared" si="11"/>
        <v>0</v>
      </c>
    </row>
    <row r="62" spans="3:62" x14ac:dyDescent="0.15">
      <c r="D62" s="11" t="str">
        <f>Вводные!$D$79</f>
        <v>Ежемесячный расход 10</v>
      </c>
      <c r="E62" s="12" t="s">
        <v>110</v>
      </c>
      <c r="I62" s="20">
        <f>Вводные!F79 * Вводные!$F$12</f>
        <v>0</v>
      </c>
      <c r="J62" s="3">
        <f t="shared" ref="J62:BJ62" si="12">$I62 * J84  * J22</f>
        <v>0</v>
      </c>
      <c r="K62" s="3">
        <f t="shared" si="12"/>
        <v>0</v>
      </c>
      <c r="L62" s="3">
        <f t="shared" si="12"/>
        <v>0</v>
      </c>
      <c r="M62" s="3">
        <f t="shared" si="12"/>
        <v>0</v>
      </c>
      <c r="N62" s="3">
        <f t="shared" si="12"/>
        <v>0</v>
      </c>
      <c r="O62" s="3">
        <f t="shared" si="12"/>
        <v>0</v>
      </c>
      <c r="P62" s="3">
        <f t="shared" si="12"/>
        <v>0</v>
      </c>
      <c r="Q62" s="3">
        <f t="shared" si="12"/>
        <v>0</v>
      </c>
      <c r="R62" s="3">
        <f t="shared" si="12"/>
        <v>0</v>
      </c>
      <c r="S62" s="3">
        <f t="shared" si="12"/>
        <v>0</v>
      </c>
      <c r="T62" s="3">
        <f t="shared" si="12"/>
        <v>0</v>
      </c>
      <c r="U62" s="3">
        <f t="shared" si="12"/>
        <v>0</v>
      </c>
      <c r="V62" s="3">
        <f t="shared" si="12"/>
        <v>0</v>
      </c>
      <c r="W62" s="3">
        <f t="shared" si="12"/>
        <v>0</v>
      </c>
      <c r="X62" s="3">
        <f t="shared" si="12"/>
        <v>0</v>
      </c>
      <c r="Y62" s="3">
        <f t="shared" si="12"/>
        <v>0</v>
      </c>
      <c r="Z62" s="3">
        <f t="shared" si="12"/>
        <v>0</v>
      </c>
      <c r="AA62" s="3">
        <f t="shared" si="12"/>
        <v>0</v>
      </c>
      <c r="AB62" s="3">
        <f t="shared" si="12"/>
        <v>0</v>
      </c>
      <c r="AC62" s="3">
        <f t="shared" si="12"/>
        <v>0</v>
      </c>
      <c r="AD62" s="3">
        <f t="shared" si="12"/>
        <v>0</v>
      </c>
      <c r="AE62" s="3">
        <f t="shared" si="12"/>
        <v>0</v>
      </c>
      <c r="AF62" s="3">
        <f t="shared" si="12"/>
        <v>0</v>
      </c>
      <c r="AG62" s="3">
        <f t="shared" si="12"/>
        <v>0</v>
      </c>
      <c r="AH62" s="3">
        <f t="shared" si="12"/>
        <v>0</v>
      </c>
      <c r="AI62" s="3">
        <f t="shared" si="12"/>
        <v>0</v>
      </c>
      <c r="AJ62" s="3">
        <f t="shared" si="12"/>
        <v>0</v>
      </c>
      <c r="AK62" s="3">
        <f t="shared" si="12"/>
        <v>0</v>
      </c>
      <c r="AL62" s="3">
        <f t="shared" si="12"/>
        <v>0</v>
      </c>
      <c r="AM62" s="3">
        <f t="shared" si="12"/>
        <v>0</v>
      </c>
      <c r="AN62" s="3">
        <f t="shared" si="12"/>
        <v>0</v>
      </c>
      <c r="AO62" s="3">
        <f t="shared" si="12"/>
        <v>0</v>
      </c>
      <c r="AP62" s="3">
        <f t="shared" si="12"/>
        <v>0</v>
      </c>
      <c r="AQ62" s="3">
        <f t="shared" si="12"/>
        <v>0</v>
      </c>
      <c r="AR62" s="3">
        <f t="shared" si="12"/>
        <v>0</v>
      </c>
      <c r="AS62" s="3">
        <f t="shared" si="12"/>
        <v>0</v>
      </c>
      <c r="AT62" s="3">
        <f t="shared" si="12"/>
        <v>0</v>
      </c>
      <c r="AU62" s="3">
        <f t="shared" si="12"/>
        <v>0</v>
      </c>
      <c r="AV62" s="3">
        <f t="shared" si="12"/>
        <v>0</v>
      </c>
      <c r="AW62" s="3">
        <f t="shared" si="12"/>
        <v>0</v>
      </c>
      <c r="AX62" s="3">
        <f t="shared" si="12"/>
        <v>0</v>
      </c>
      <c r="AY62" s="3">
        <f t="shared" si="12"/>
        <v>0</v>
      </c>
      <c r="AZ62" s="3">
        <f t="shared" si="12"/>
        <v>0</v>
      </c>
      <c r="BA62" s="3">
        <f t="shared" si="12"/>
        <v>0</v>
      </c>
      <c r="BB62" s="3">
        <f t="shared" si="12"/>
        <v>0</v>
      </c>
      <c r="BC62" s="3">
        <f t="shared" si="12"/>
        <v>0</v>
      </c>
      <c r="BD62" s="3">
        <f t="shared" si="12"/>
        <v>0</v>
      </c>
      <c r="BE62" s="3">
        <f t="shared" si="12"/>
        <v>0</v>
      </c>
      <c r="BF62" s="3">
        <f t="shared" si="12"/>
        <v>0</v>
      </c>
      <c r="BG62" s="3">
        <f t="shared" si="12"/>
        <v>0</v>
      </c>
      <c r="BH62" s="3">
        <f t="shared" si="12"/>
        <v>0</v>
      </c>
      <c r="BI62" s="3">
        <f t="shared" si="12"/>
        <v>0</v>
      </c>
      <c r="BJ62" s="3">
        <f t="shared" si="12"/>
        <v>0</v>
      </c>
    </row>
    <row r="63" spans="3:62" x14ac:dyDescent="0.15">
      <c r="D63" s="11" t="str">
        <f>Вводные!$D$80</f>
        <v>Ежемесячный расход 11</v>
      </c>
      <c r="E63" s="12" t="s">
        <v>110</v>
      </c>
      <c r="I63" s="20">
        <f>Вводные!F80 * Вводные!$F$12</f>
        <v>0</v>
      </c>
      <c r="J63" s="3">
        <f t="shared" ref="J63:BJ63" si="13">$I63 * J85  * J23</f>
        <v>0</v>
      </c>
      <c r="K63" s="3">
        <f t="shared" si="13"/>
        <v>0</v>
      </c>
      <c r="L63" s="3">
        <f t="shared" si="13"/>
        <v>0</v>
      </c>
      <c r="M63" s="3">
        <f t="shared" si="13"/>
        <v>0</v>
      </c>
      <c r="N63" s="3">
        <f t="shared" si="13"/>
        <v>0</v>
      </c>
      <c r="O63" s="3">
        <f t="shared" si="13"/>
        <v>0</v>
      </c>
      <c r="P63" s="3">
        <f t="shared" si="13"/>
        <v>0</v>
      </c>
      <c r="Q63" s="3">
        <f t="shared" si="13"/>
        <v>0</v>
      </c>
      <c r="R63" s="3">
        <f t="shared" si="13"/>
        <v>0</v>
      </c>
      <c r="S63" s="3">
        <f t="shared" si="13"/>
        <v>0</v>
      </c>
      <c r="T63" s="3">
        <f t="shared" si="13"/>
        <v>0</v>
      </c>
      <c r="U63" s="3">
        <f t="shared" si="13"/>
        <v>0</v>
      </c>
      <c r="V63" s="3">
        <f t="shared" si="13"/>
        <v>0</v>
      </c>
      <c r="W63" s="3">
        <f t="shared" si="13"/>
        <v>0</v>
      </c>
      <c r="X63" s="3">
        <f t="shared" si="13"/>
        <v>0</v>
      </c>
      <c r="Y63" s="3">
        <f t="shared" si="13"/>
        <v>0</v>
      </c>
      <c r="Z63" s="3">
        <f t="shared" si="13"/>
        <v>0</v>
      </c>
      <c r="AA63" s="3">
        <f t="shared" si="13"/>
        <v>0</v>
      </c>
      <c r="AB63" s="3">
        <f t="shared" si="13"/>
        <v>0</v>
      </c>
      <c r="AC63" s="3">
        <f t="shared" si="13"/>
        <v>0</v>
      </c>
      <c r="AD63" s="3">
        <f t="shared" si="13"/>
        <v>0</v>
      </c>
      <c r="AE63" s="3">
        <f t="shared" si="13"/>
        <v>0</v>
      </c>
      <c r="AF63" s="3">
        <f t="shared" si="13"/>
        <v>0</v>
      </c>
      <c r="AG63" s="3">
        <f t="shared" si="13"/>
        <v>0</v>
      </c>
      <c r="AH63" s="3">
        <f t="shared" si="13"/>
        <v>0</v>
      </c>
      <c r="AI63" s="3">
        <f t="shared" si="13"/>
        <v>0</v>
      </c>
      <c r="AJ63" s="3">
        <f t="shared" si="13"/>
        <v>0</v>
      </c>
      <c r="AK63" s="3">
        <f t="shared" si="13"/>
        <v>0</v>
      </c>
      <c r="AL63" s="3">
        <f t="shared" si="13"/>
        <v>0</v>
      </c>
      <c r="AM63" s="3">
        <f t="shared" si="13"/>
        <v>0</v>
      </c>
      <c r="AN63" s="3">
        <f t="shared" si="13"/>
        <v>0</v>
      </c>
      <c r="AO63" s="3">
        <f t="shared" si="13"/>
        <v>0</v>
      </c>
      <c r="AP63" s="3">
        <f t="shared" si="13"/>
        <v>0</v>
      </c>
      <c r="AQ63" s="3">
        <f t="shared" si="13"/>
        <v>0</v>
      </c>
      <c r="AR63" s="3">
        <f t="shared" si="13"/>
        <v>0</v>
      </c>
      <c r="AS63" s="3">
        <f t="shared" si="13"/>
        <v>0</v>
      </c>
      <c r="AT63" s="3">
        <f t="shared" si="13"/>
        <v>0</v>
      </c>
      <c r="AU63" s="3">
        <f t="shared" si="13"/>
        <v>0</v>
      </c>
      <c r="AV63" s="3">
        <f t="shared" si="13"/>
        <v>0</v>
      </c>
      <c r="AW63" s="3">
        <f t="shared" si="13"/>
        <v>0</v>
      </c>
      <c r="AX63" s="3">
        <f t="shared" si="13"/>
        <v>0</v>
      </c>
      <c r="AY63" s="3">
        <f t="shared" si="13"/>
        <v>0</v>
      </c>
      <c r="AZ63" s="3">
        <f t="shared" si="13"/>
        <v>0</v>
      </c>
      <c r="BA63" s="3">
        <f t="shared" si="13"/>
        <v>0</v>
      </c>
      <c r="BB63" s="3">
        <f t="shared" si="13"/>
        <v>0</v>
      </c>
      <c r="BC63" s="3">
        <f t="shared" si="13"/>
        <v>0</v>
      </c>
      <c r="BD63" s="3">
        <f t="shared" si="13"/>
        <v>0</v>
      </c>
      <c r="BE63" s="3">
        <f t="shared" si="13"/>
        <v>0</v>
      </c>
      <c r="BF63" s="3">
        <f t="shared" si="13"/>
        <v>0</v>
      </c>
      <c r="BG63" s="3">
        <f t="shared" si="13"/>
        <v>0</v>
      </c>
      <c r="BH63" s="3">
        <f t="shared" si="13"/>
        <v>0</v>
      </c>
      <c r="BI63" s="3">
        <f t="shared" si="13"/>
        <v>0</v>
      </c>
      <c r="BJ63" s="3">
        <f t="shared" si="13"/>
        <v>0</v>
      </c>
    </row>
    <row r="64" spans="3:62" x14ac:dyDescent="0.15">
      <c r="D64" s="11" t="str">
        <f>Вводные!$D$81</f>
        <v>Ежемесячный расход 12</v>
      </c>
      <c r="E64" s="12" t="s">
        <v>110</v>
      </c>
      <c r="I64" s="20">
        <f>Вводные!F81 * Вводные!$F$12</f>
        <v>0</v>
      </c>
      <c r="J64" s="3">
        <f t="shared" ref="J64:BJ64" si="14">$I64 * J86  * J24</f>
        <v>0</v>
      </c>
      <c r="K64" s="3">
        <f t="shared" si="14"/>
        <v>0</v>
      </c>
      <c r="L64" s="3">
        <f t="shared" si="14"/>
        <v>0</v>
      </c>
      <c r="M64" s="3">
        <f t="shared" si="14"/>
        <v>0</v>
      </c>
      <c r="N64" s="3">
        <f t="shared" si="14"/>
        <v>0</v>
      </c>
      <c r="O64" s="3">
        <f t="shared" si="14"/>
        <v>0</v>
      </c>
      <c r="P64" s="3">
        <f t="shared" si="14"/>
        <v>0</v>
      </c>
      <c r="Q64" s="3">
        <f t="shared" si="14"/>
        <v>0</v>
      </c>
      <c r="R64" s="3">
        <f t="shared" si="14"/>
        <v>0</v>
      </c>
      <c r="S64" s="3">
        <f t="shared" si="14"/>
        <v>0</v>
      </c>
      <c r="T64" s="3">
        <f t="shared" si="14"/>
        <v>0</v>
      </c>
      <c r="U64" s="3">
        <f t="shared" si="14"/>
        <v>0</v>
      </c>
      <c r="V64" s="3">
        <f t="shared" si="14"/>
        <v>0</v>
      </c>
      <c r="W64" s="3">
        <f t="shared" si="14"/>
        <v>0</v>
      </c>
      <c r="X64" s="3">
        <f t="shared" si="14"/>
        <v>0</v>
      </c>
      <c r="Y64" s="3">
        <f t="shared" si="14"/>
        <v>0</v>
      </c>
      <c r="Z64" s="3">
        <f t="shared" si="14"/>
        <v>0</v>
      </c>
      <c r="AA64" s="3">
        <f t="shared" si="14"/>
        <v>0</v>
      </c>
      <c r="AB64" s="3">
        <f t="shared" si="14"/>
        <v>0</v>
      </c>
      <c r="AC64" s="3">
        <f t="shared" si="14"/>
        <v>0</v>
      </c>
      <c r="AD64" s="3">
        <f t="shared" si="14"/>
        <v>0</v>
      </c>
      <c r="AE64" s="3">
        <f t="shared" si="14"/>
        <v>0</v>
      </c>
      <c r="AF64" s="3">
        <f t="shared" si="14"/>
        <v>0</v>
      </c>
      <c r="AG64" s="3">
        <f t="shared" si="14"/>
        <v>0</v>
      </c>
      <c r="AH64" s="3">
        <f t="shared" si="14"/>
        <v>0</v>
      </c>
      <c r="AI64" s="3">
        <f t="shared" si="14"/>
        <v>0</v>
      </c>
      <c r="AJ64" s="3">
        <f t="shared" si="14"/>
        <v>0</v>
      </c>
      <c r="AK64" s="3">
        <f t="shared" si="14"/>
        <v>0</v>
      </c>
      <c r="AL64" s="3">
        <f t="shared" si="14"/>
        <v>0</v>
      </c>
      <c r="AM64" s="3">
        <f t="shared" si="14"/>
        <v>0</v>
      </c>
      <c r="AN64" s="3">
        <f t="shared" si="14"/>
        <v>0</v>
      </c>
      <c r="AO64" s="3">
        <f t="shared" si="14"/>
        <v>0</v>
      </c>
      <c r="AP64" s="3">
        <f t="shared" si="14"/>
        <v>0</v>
      </c>
      <c r="AQ64" s="3">
        <f t="shared" si="14"/>
        <v>0</v>
      </c>
      <c r="AR64" s="3">
        <f t="shared" si="14"/>
        <v>0</v>
      </c>
      <c r="AS64" s="3">
        <f t="shared" si="14"/>
        <v>0</v>
      </c>
      <c r="AT64" s="3">
        <f t="shared" si="14"/>
        <v>0</v>
      </c>
      <c r="AU64" s="3">
        <f t="shared" si="14"/>
        <v>0</v>
      </c>
      <c r="AV64" s="3">
        <f t="shared" si="14"/>
        <v>0</v>
      </c>
      <c r="AW64" s="3">
        <f t="shared" si="14"/>
        <v>0</v>
      </c>
      <c r="AX64" s="3">
        <f t="shared" si="14"/>
        <v>0</v>
      </c>
      <c r="AY64" s="3">
        <f t="shared" si="14"/>
        <v>0</v>
      </c>
      <c r="AZ64" s="3">
        <f t="shared" si="14"/>
        <v>0</v>
      </c>
      <c r="BA64" s="3">
        <f t="shared" si="14"/>
        <v>0</v>
      </c>
      <c r="BB64" s="3">
        <f t="shared" si="14"/>
        <v>0</v>
      </c>
      <c r="BC64" s="3">
        <f t="shared" si="14"/>
        <v>0</v>
      </c>
      <c r="BD64" s="3">
        <f t="shared" si="14"/>
        <v>0</v>
      </c>
      <c r="BE64" s="3">
        <f t="shared" si="14"/>
        <v>0</v>
      </c>
      <c r="BF64" s="3">
        <f t="shared" si="14"/>
        <v>0</v>
      </c>
      <c r="BG64" s="3">
        <f t="shared" si="14"/>
        <v>0</v>
      </c>
      <c r="BH64" s="3">
        <f t="shared" si="14"/>
        <v>0</v>
      </c>
      <c r="BI64" s="3">
        <f t="shared" si="14"/>
        <v>0</v>
      </c>
      <c r="BJ64" s="3">
        <f t="shared" si="14"/>
        <v>0</v>
      </c>
    </row>
    <row r="65" spans="4:62" x14ac:dyDescent="0.15">
      <c r="D65" s="11" t="str">
        <f>Вводные!$D$82</f>
        <v>Ежемесячный расход 13</v>
      </c>
      <c r="E65" s="12" t="s">
        <v>110</v>
      </c>
      <c r="I65" s="20">
        <f>Вводные!F82 * Вводные!$F$12</f>
        <v>0</v>
      </c>
      <c r="J65" s="3">
        <f t="shared" ref="J65:BJ65" si="15">$I65 * J87  * J25</f>
        <v>0</v>
      </c>
      <c r="K65" s="3">
        <f t="shared" si="15"/>
        <v>0</v>
      </c>
      <c r="L65" s="3">
        <f t="shared" si="15"/>
        <v>0</v>
      </c>
      <c r="M65" s="3">
        <f t="shared" si="15"/>
        <v>0</v>
      </c>
      <c r="N65" s="3">
        <f t="shared" si="15"/>
        <v>0</v>
      </c>
      <c r="O65" s="3">
        <f t="shared" si="15"/>
        <v>0</v>
      </c>
      <c r="P65" s="3">
        <f t="shared" si="15"/>
        <v>0</v>
      </c>
      <c r="Q65" s="3">
        <f t="shared" si="15"/>
        <v>0</v>
      </c>
      <c r="R65" s="3">
        <f t="shared" si="15"/>
        <v>0</v>
      </c>
      <c r="S65" s="3">
        <f t="shared" si="15"/>
        <v>0</v>
      </c>
      <c r="T65" s="3">
        <f t="shared" si="15"/>
        <v>0</v>
      </c>
      <c r="U65" s="3">
        <f t="shared" si="15"/>
        <v>0</v>
      </c>
      <c r="V65" s="3">
        <f t="shared" si="15"/>
        <v>0</v>
      </c>
      <c r="W65" s="3">
        <f t="shared" si="15"/>
        <v>0</v>
      </c>
      <c r="X65" s="3">
        <f t="shared" si="15"/>
        <v>0</v>
      </c>
      <c r="Y65" s="3">
        <f t="shared" si="15"/>
        <v>0</v>
      </c>
      <c r="Z65" s="3">
        <f t="shared" si="15"/>
        <v>0</v>
      </c>
      <c r="AA65" s="3">
        <f t="shared" si="15"/>
        <v>0</v>
      </c>
      <c r="AB65" s="3">
        <f t="shared" si="15"/>
        <v>0</v>
      </c>
      <c r="AC65" s="3">
        <f t="shared" si="15"/>
        <v>0</v>
      </c>
      <c r="AD65" s="3">
        <f t="shared" si="15"/>
        <v>0</v>
      </c>
      <c r="AE65" s="3">
        <f t="shared" si="15"/>
        <v>0</v>
      </c>
      <c r="AF65" s="3">
        <f t="shared" si="15"/>
        <v>0</v>
      </c>
      <c r="AG65" s="3">
        <f t="shared" si="15"/>
        <v>0</v>
      </c>
      <c r="AH65" s="3">
        <f t="shared" si="15"/>
        <v>0</v>
      </c>
      <c r="AI65" s="3">
        <f t="shared" si="15"/>
        <v>0</v>
      </c>
      <c r="AJ65" s="3">
        <f t="shared" si="15"/>
        <v>0</v>
      </c>
      <c r="AK65" s="3">
        <f t="shared" si="15"/>
        <v>0</v>
      </c>
      <c r="AL65" s="3">
        <f t="shared" si="15"/>
        <v>0</v>
      </c>
      <c r="AM65" s="3">
        <f t="shared" si="15"/>
        <v>0</v>
      </c>
      <c r="AN65" s="3">
        <f t="shared" si="15"/>
        <v>0</v>
      </c>
      <c r="AO65" s="3">
        <f t="shared" si="15"/>
        <v>0</v>
      </c>
      <c r="AP65" s="3">
        <f t="shared" si="15"/>
        <v>0</v>
      </c>
      <c r="AQ65" s="3">
        <f t="shared" si="15"/>
        <v>0</v>
      </c>
      <c r="AR65" s="3">
        <f t="shared" si="15"/>
        <v>0</v>
      </c>
      <c r="AS65" s="3">
        <f t="shared" si="15"/>
        <v>0</v>
      </c>
      <c r="AT65" s="3">
        <f t="shared" si="15"/>
        <v>0</v>
      </c>
      <c r="AU65" s="3">
        <f t="shared" si="15"/>
        <v>0</v>
      </c>
      <c r="AV65" s="3">
        <f t="shared" si="15"/>
        <v>0</v>
      </c>
      <c r="AW65" s="3">
        <f t="shared" si="15"/>
        <v>0</v>
      </c>
      <c r="AX65" s="3">
        <f t="shared" si="15"/>
        <v>0</v>
      </c>
      <c r="AY65" s="3">
        <f t="shared" si="15"/>
        <v>0</v>
      </c>
      <c r="AZ65" s="3">
        <f t="shared" si="15"/>
        <v>0</v>
      </c>
      <c r="BA65" s="3">
        <f t="shared" si="15"/>
        <v>0</v>
      </c>
      <c r="BB65" s="3">
        <f t="shared" si="15"/>
        <v>0</v>
      </c>
      <c r="BC65" s="3">
        <f t="shared" si="15"/>
        <v>0</v>
      </c>
      <c r="BD65" s="3">
        <f t="shared" si="15"/>
        <v>0</v>
      </c>
      <c r="BE65" s="3">
        <f t="shared" si="15"/>
        <v>0</v>
      </c>
      <c r="BF65" s="3">
        <f t="shared" si="15"/>
        <v>0</v>
      </c>
      <c r="BG65" s="3">
        <f t="shared" si="15"/>
        <v>0</v>
      </c>
      <c r="BH65" s="3">
        <f t="shared" si="15"/>
        <v>0</v>
      </c>
      <c r="BI65" s="3">
        <f t="shared" si="15"/>
        <v>0</v>
      </c>
      <c r="BJ65" s="3">
        <f t="shared" si="15"/>
        <v>0</v>
      </c>
    </row>
    <row r="66" spans="4:62" x14ac:dyDescent="0.15">
      <c r="D66" s="11" t="str">
        <f>Вводные!$D$83</f>
        <v>Ежемесячный расход 14</v>
      </c>
      <c r="E66" s="12" t="s">
        <v>110</v>
      </c>
      <c r="I66" s="20">
        <f>Вводные!F83 * Вводные!$F$12</f>
        <v>0</v>
      </c>
      <c r="J66" s="3">
        <f t="shared" ref="J66:BJ66" si="16">$I66 * J88  * J26</f>
        <v>0</v>
      </c>
      <c r="K66" s="3">
        <f t="shared" si="16"/>
        <v>0</v>
      </c>
      <c r="L66" s="3">
        <f t="shared" si="16"/>
        <v>0</v>
      </c>
      <c r="M66" s="3">
        <f t="shared" si="16"/>
        <v>0</v>
      </c>
      <c r="N66" s="3">
        <f t="shared" si="16"/>
        <v>0</v>
      </c>
      <c r="O66" s="3">
        <f t="shared" si="16"/>
        <v>0</v>
      </c>
      <c r="P66" s="3">
        <f t="shared" si="16"/>
        <v>0</v>
      </c>
      <c r="Q66" s="3">
        <f t="shared" si="16"/>
        <v>0</v>
      </c>
      <c r="R66" s="3">
        <f t="shared" si="16"/>
        <v>0</v>
      </c>
      <c r="S66" s="3">
        <f t="shared" si="16"/>
        <v>0</v>
      </c>
      <c r="T66" s="3">
        <f t="shared" si="16"/>
        <v>0</v>
      </c>
      <c r="U66" s="3">
        <f t="shared" si="16"/>
        <v>0</v>
      </c>
      <c r="V66" s="3">
        <f t="shared" si="16"/>
        <v>0</v>
      </c>
      <c r="W66" s="3">
        <f t="shared" si="16"/>
        <v>0</v>
      </c>
      <c r="X66" s="3">
        <f t="shared" si="16"/>
        <v>0</v>
      </c>
      <c r="Y66" s="3">
        <f t="shared" si="16"/>
        <v>0</v>
      </c>
      <c r="Z66" s="3">
        <f t="shared" si="16"/>
        <v>0</v>
      </c>
      <c r="AA66" s="3">
        <f t="shared" si="16"/>
        <v>0</v>
      </c>
      <c r="AB66" s="3">
        <f t="shared" si="16"/>
        <v>0</v>
      </c>
      <c r="AC66" s="3">
        <f t="shared" si="16"/>
        <v>0</v>
      </c>
      <c r="AD66" s="3">
        <f t="shared" si="16"/>
        <v>0</v>
      </c>
      <c r="AE66" s="3">
        <f t="shared" si="16"/>
        <v>0</v>
      </c>
      <c r="AF66" s="3">
        <f t="shared" si="16"/>
        <v>0</v>
      </c>
      <c r="AG66" s="3">
        <f t="shared" si="16"/>
        <v>0</v>
      </c>
      <c r="AH66" s="3">
        <f t="shared" si="16"/>
        <v>0</v>
      </c>
      <c r="AI66" s="3">
        <f t="shared" si="16"/>
        <v>0</v>
      </c>
      <c r="AJ66" s="3">
        <f t="shared" si="16"/>
        <v>0</v>
      </c>
      <c r="AK66" s="3">
        <f t="shared" si="16"/>
        <v>0</v>
      </c>
      <c r="AL66" s="3">
        <f t="shared" si="16"/>
        <v>0</v>
      </c>
      <c r="AM66" s="3">
        <f t="shared" si="16"/>
        <v>0</v>
      </c>
      <c r="AN66" s="3">
        <f t="shared" si="16"/>
        <v>0</v>
      </c>
      <c r="AO66" s="3">
        <f t="shared" si="16"/>
        <v>0</v>
      </c>
      <c r="AP66" s="3">
        <f t="shared" si="16"/>
        <v>0</v>
      </c>
      <c r="AQ66" s="3">
        <f t="shared" si="16"/>
        <v>0</v>
      </c>
      <c r="AR66" s="3">
        <f t="shared" si="16"/>
        <v>0</v>
      </c>
      <c r="AS66" s="3">
        <f t="shared" si="16"/>
        <v>0</v>
      </c>
      <c r="AT66" s="3">
        <f t="shared" si="16"/>
        <v>0</v>
      </c>
      <c r="AU66" s="3">
        <f t="shared" si="16"/>
        <v>0</v>
      </c>
      <c r="AV66" s="3">
        <f t="shared" si="16"/>
        <v>0</v>
      </c>
      <c r="AW66" s="3">
        <f t="shared" si="16"/>
        <v>0</v>
      </c>
      <c r="AX66" s="3">
        <f t="shared" si="16"/>
        <v>0</v>
      </c>
      <c r="AY66" s="3">
        <f t="shared" si="16"/>
        <v>0</v>
      </c>
      <c r="AZ66" s="3">
        <f t="shared" si="16"/>
        <v>0</v>
      </c>
      <c r="BA66" s="3">
        <f t="shared" si="16"/>
        <v>0</v>
      </c>
      <c r="BB66" s="3">
        <f t="shared" si="16"/>
        <v>0</v>
      </c>
      <c r="BC66" s="3">
        <f t="shared" si="16"/>
        <v>0</v>
      </c>
      <c r="BD66" s="3">
        <f t="shared" si="16"/>
        <v>0</v>
      </c>
      <c r="BE66" s="3">
        <f t="shared" si="16"/>
        <v>0</v>
      </c>
      <c r="BF66" s="3">
        <f t="shared" si="16"/>
        <v>0</v>
      </c>
      <c r="BG66" s="3">
        <f t="shared" si="16"/>
        <v>0</v>
      </c>
      <c r="BH66" s="3">
        <f t="shared" si="16"/>
        <v>0</v>
      </c>
      <c r="BI66" s="3">
        <f t="shared" si="16"/>
        <v>0</v>
      </c>
      <c r="BJ66" s="3">
        <f t="shared" si="16"/>
        <v>0</v>
      </c>
    </row>
    <row r="67" spans="4:62" x14ac:dyDescent="0.15">
      <c r="D67" s="11" t="str">
        <f>Вводные!$D$84</f>
        <v>Ежемесячный расход 15</v>
      </c>
      <c r="E67" s="12" t="s">
        <v>110</v>
      </c>
      <c r="I67" s="20">
        <f>Вводные!F84 * Вводные!$F$12</f>
        <v>0</v>
      </c>
      <c r="J67" s="3">
        <f t="shared" ref="J67:BJ67" si="17">$I67 * J89  * J27</f>
        <v>0</v>
      </c>
      <c r="K67" s="3">
        <f t="shared" si="17"/>
        <v>0</v>
      </c>
      <c r="L67" s="3">
        <f t="shared" si="17"/>
        <v>0</v>
      </c>
      <c r="M67" s="3">
        <f t="shared" si="17"/>
        <v>0</v>
      </c>
      <c r="N67" s="3">
        <f t="shared" si="17"/>
        <v>0</v>
      </c>
      <c r="O67" s="3">
        <f t="shared" si="17"/>
        <v>0</v>
      </c>
      <c r="P67" s="3">
        <f t="shared" si="17"/>
        <v>0</v>
      </c>
      <c r="Q67" s="3">
        <f t="shared" si="17"/>
        <v>0</v>
      </c>
      <c r="R67" s="3">
        <f t="shared" si="17"/>
        <v>0</v>
      </c>
      <c r="S67" s="3">
        <f t="shared" si="17"/>
        <v>0</v>
      </c>
      <c r="T67" s="3">
        <f t="shared" si="17"/>
        <v>0</v>
      </c>
      <c r="U67" s="3">
        <f t="shared" si="17"/>
        <v>0</v>
      </c>
      <c r="V67" s="3">
        <f t="shared" si="17"/>
        <v>0</v>
      </c>
      <c r="W67" s="3">
        <f t="shared" si="17"/>
        <v>0</v>
      </c>
      <c r="X67" s="3">
        <f t="shared" si="17"/>
        <v>0</v>
      </c>
      <c r="Y67" s="3">
        <f t="shared" si="17"/>
        <v>0</v>
      </c>
      <c r="Z67" s="3">
        <f t="shared" si="17"/>
        <v>0</v>
      </c>
      <c r="AA67" s="3">
        <f t="shared" si="17"/>
        <v>0</v>
      </c>
      <c r="AB67" s="3">
        <f t="shared" si="17"/>
        <v>0</v>
      </c>
      <c r="AC67" s="3">
        <f t="shared" si="17"/>
        <v>0</v>
      </c>
      <c r="AD67" s="3">
        <f t="shared" si="17"/>
        <v>0</v>
      </c>
      <c r="AE67" s="3">
        <f t="shared" si="17"/>
        <v>0</v>
      </c>
      <c r="AF67" s="3">
        <f t="shared" si="17"/>
        <v>0</v>
      </c>
      <c r="AG67" s="3">
        <f t="shared" si="17"/>
        <v>0</v>
      </c>
      <c r="AH67" s="3">
        <f t="shared" si="17"/>
        <v>0</v>
      </c>
      <c r="AI67" s="3">
        <f t="shared" si="17"/>
        <v>0</v>
      </c>
      <c r="AJ67" s="3">
        <f t="shared" si="17"/>
        <v>0</v>
      </c>
      <c r="AK67" s="3">
        <f t="shared" si="17"/>
        <v>0</v>
      </c>
      <c r="AL67" s="3">
        <f t="shared" si="17"/>
        <v>0</v>
      </c>
      <c r="AM67" s="3">
        <f t="shared" si="17"/>
        <v>0</v>
      </c>
      <c r="AN67" s="3">
        <f t="shared" si="17"/>
        <v>0</v>
      </c>
      <c r="AO67" s="3">
        <f t="shared" si="17"/>
        <v>0</v>
      </c>
      <c r="AP67" s="3">
        <f t="shared" si="17"/>
        <v>0</v>
      </c>
      <c r="AQ67" s="3">
        <f t="shared" si="17"/>
        <v>0</v>
      </c>
      <c r="AR67" s="3">
        <f t="shared" si="17"/>
        <v>0</v>
      </c>
      <c r="AS67" s="3">
        <f t="shared" si="17"/>
        <v>0</v>
      </c>
      <c r="AT67" s="3">
        <f t="shared" si="17"/>
        <v>0</v>
      </c>
      <c r="AU67" s="3">
        <f t="shared" si="17"/>
        <v>0</v>
      </c>
      <c r="AV67" s="3">
        <f t="shared" si="17"/>
        <v>0</v>
      </c>
      <c r="AW67" s="3">
        <f t="shared" si="17"/>
        <v>0</v>
      </c>
      <c r="AX67" s="3">
        <f t="shared" si="17"/>
        <v>0</v>
      </c>
      <c r="AY67" s="3">
        <f t="shared" si="17"/>
        <v>0</v>
      </c>
      <c r="AZ67" s="3">
        <f t="shared" si="17"/>
        <v>0</v>
      </c>
      <c r="BA67" s="3">
        <f t="shared" si="17"/>
        <v>0</v>
      </c>
      <c r="BB67" s="3">
        <f t="shared" si="17"/>
        <v>0</v>
      </c>
      <c r="BC67" s="3">
        <f t="shared" si="17"/>
        <v>0</v>
      </c>
      <c r="BD67" s="3">
        <f t="shared" si="17"/>
        <v>0</v>
      </c>
      <c r="BE67" s="3">
        <f t="shared" si="17"/>
        <v>0</v>
      </c>
      <c r="BF67" s="3">
        <f t="shared" si="17"/>
        <v>0</v>
      </c>
      <c r="BG67" s="3">
        <f t="shared" si="17"/>
        <v>0</v>
      </c>
      <c r="BH67" s="3">
        <f t="shared" si="17"/>
        <v>0</v>
      </c>
      <c r="BI67" s="3">
        <f t="shared" si="17"/>
        <v>0</v>
      </c>
      <c r="BJ67" s="3">
        <f t="shared" si="17"/>
        <v>0</v>
      </c>
    </row>
    <row r="68" spans="4:62" x14ac:dyDescent="0.15">
      <c r="D68" s="11" t="str">
        <f>Вводные!$D$85</f>
        <v>Ежемесячный расход 16</v>
      </c>
      <c r="E68" s="12" t="s">
        <v>110</v>
      </c>
      <c r="I68" s="22">
        <f>Вводные!F85 * Вводные!$F$12</f>
        <v>0</v>
      </c>
      <c r="J68" s="3">
        <f t="shared" ref="J68:BJ68" si="18">$I68 * J90  * J28</f>
        <v>0</v>
      </c>
      <c r="K68" s="3">
        <f t="shared" si="18"/>
        <v>0</v>
      </c>
      <c r="L68" s="3">
        <f t="shared" si="18"/>
        <v>0</v>
      </c>
      <c r="M68" s="3">
        <f t="shared" si="18"/>
        <v>0</v>
      </c>
      <c r="N68" s="3">
        <f t="shared" si="18"/>
        <v>0</v>
      </c>
      <c r="O68" s="3">
        <f t="shared" si="18"/>
        <v>0</v>
      </c>
      <c r="P68" s="3">
        <f t="shared" si="18"/>
        <v>0</v>
      </c>
      <c r="Q68" s="3">
        <f t="shared" si="18"/>
        <v>0</v>
      </c>
      <c r="R68" s="3">
        <f t="shared" si="18"/>
        <v>0</v>
      </c>
      <c r="S68" s="3">
        <f t="shared" si="18"/>
        <v>0</v>
      </c>
      <c r="T68" s="3">
        <f t="shared" si="18"/>
        <v>0</v>
      </c>
      <c r="U68" s="3">
        <f t="shared" si="18"/>
        <v>0</v>
      </c>
      <c r="V68" s="3">
        <f t="shared" si="18"/>
        <v>0</v>
      </c>
      <c r="W68" s="3">
        <f t="shared" si="18"/>
        <v>0</v>
      </c>
      <c r="X68" s="3">
        <f t="shared" si="18"/>
        <v>0</v>
      </c>
      <c r="Y68" s="3">
        <f t="shared" si="18"/>
        <v>0</v>
      </c>
      <c r="Z68" s="3">
        <f t="shared" si="18"/>
        <v>0</v>
      </c>
      <c r="AA68" s="3">
        <f t="shared" si="18"/>
        <v>0</v>
      </c>
      <c r="AB68" s="3">
        <f t="shared" si="18"/>
        <v>0</v>
      </c>
      <c r="AC68" s="3">
        <f t="shared" si="18"/>
        <v>0</v>
      </c>
      <c r="AD68" s="3">
        <f t="shared" si="18"/>
        <v>0</v>
      </c>
      <c r="AE68" s="3">
        <f t="shared" si="18"/>
        <v>0</v>
      </c>
      <c r="AF68" s="3">
        <f t="shared" si="18"/>
        <v>0</v>
      </c>
      <c r="AG68" s="3">
        <f t="shared" si="18"/>
        <v>0</v>
      </c>
      <c r="AH68" s="3">
        <f t="shared" si="18"/>
        <v>0</v>
      </c>
      <c r="AI68" s="3">
        <f t="shared" si="18"/>
        <v>0</v>
      </c>
      <c r="AJ68" s="3">
        <f t="shared" si="18"/>
        <v>0</v>
      </c>
      <c r="AK68" s="3">
        <f t="shared" si="18"/>
        <v>0</v>
      </c>
      <c r="AL68" s="3">
        <f t="shared" si="18"/>
        <v>0</v>
      </c>
      <c r="AM68" s="3">
        <f t="shared" si="18"/>
        <v>0</v>
      </c>
      <c r="AN68" s="3">
        <f t="shared" si="18"/>
        <v>0</v>
      </c>
      <c r="AO68" s="3">
        <f t="shared" si="18"/>
        <v>0</v>
      </c>
      <c r="AP68" s="3">
        <f t="shared" si="18"/>
        <v>0</v>
      </c>
      <c r="AQ68" s="3">
        <f t="shared" si="18"/>
        <v>0</v>
      </c>
      <c r="AR68" s="3">
        <f t="shared" si="18"/>
        <v>0</v>
      </c>
      <c r="AS68" s="3">
        <f t="shared" si="18"/>
        <v>0</v>
      </c>
      <c r="AT68" s="3">
        <f t="shared" si="18"/>
        <v>0</v>
      </c>
      <c r="AU68" s="3">
        <f t="shared" si="18"/>
        <v>0</v>
      </c>
      <c r="AV68" s="3">
        <f t="shared" si="18"/>
        <v>0</v>
      </c>
      <c r="AW68" s="3">
        <f t="shared" si="18"/>
        <v>0</v>
      </c>
      <c r="AX68" s="3">
        <f t="shared" si="18"/>
        <v>0</v>
      </c>
      <c r="AY68" s="3">
        <f t="shared" si="18"/>
        <v>0</v>
      </c>
      <c r="AZ68" s="3">
        <f t="shared" si="18"/>
        <v>0</v>
      </c>
      <c r="BA68" s="3">
        <f t="shared" si="18"/>
        <v>0</v>
      </c>
      <c r="BB68" s="3">
        <f t="shared" si="18"/>
        <v>0</v>
      </c>
      <c r="BC68" s="3">
        <f t="shared" si="18"/>
        <v>0</v>
      </c>
      <c r="BD68" s="3">
        <f t="shared" si="18"/>
        <v>0</v>
      </c>
      <c r="BE68" s="3">
        <f t="shared" si="18"/>
        <v>0</v>
      </c>
      <c r="BF68" s="3">
        <f t="shared" si="18"/>
        <v>0</v>
      </c>
      <c r="BG68" s="3">
        <f t="shared" si="18"/>
        <v>0</v>
      </c>
      <c r="BH68" s="3">
        <f t="shared" si="18"/>
        <v>0</v>
      </c>
      <c r="BI68" s="3">
        <f t="shared" si="18"/>
        <v>0</v>
      </c>
      <c r="BJ68" s="3">
        <f t="shared" si="18"/>
        <v>0</v>
      </c>
    </row>
    <row r="69" spans="4:62" x14ac:dyDescent="0.15">
      <c r="D69" s="11" t="str">
        <f>Вводные!$D$86</f>
        <v>Ежемесячный расход 17</v>
      </c>
      <c r="E69" s="12" t="s">
        <v>110</v>
      </c>
      <c r="I69" s="20">
        <f>Вводные!F86 * Вводные!$F$12</f>
        <v>0</v>
      </c>
      <c r="J69" s="3">
        <f t="shared" ref="J69:BJ69" si="19">$I69 * J91  * J29</f>
        <v>0</v>
      </c>
      <c r="K69" s="3">
        <f t="shared" si="19"/>
        <v>0</v>
      </c>
      <c r="L69" s="3">
        <f t="shared" si="19"/>
        <v>0</v>
      </c>
      <c r="M69" s="3">
        <f t="shared" si="19"/>
        <v>0</v>
      </c>
      <c r="N69" s="3">
        <f t="shared" si="19"/>
        <v>0</v>
      </c>
      <c r="O69" s="3">
        <f t="shared" si="19"/>
        <v>0</v>
      </c>
      <c r="P69" s="3">
        <f t="shared" si="19"/>
        <v>0</v>
      </c>
      <c r="Q69" s="3">
        <f t="shared" si="19"/>
        <v>0</v>
      </c>
      <c r="R69" s="3">
        <f t="shared" si="19"/>
        <v>0</v>
      </c>
      <c r="S69" s="3">
        <f t="shared" si="19"/>
        <v>0</v>
      </c>
      <c r="T69" s="3">
        <f t="shared" si="19"/>
        <v>0</v>
      </c>
      <c r="U69" s="3">
        <f t="shared" si="19"/>
        <v>0</v>
      </c>
      <c r="V69" s="3">
        <f t="shared" si="19"/>
        <v>0</v>
      </c>
      <c r="W69" s="3">
        <f t="shared" si="19"/>
        <v>0</v>
      </c>
      <c r="X69" s="3">
        <f t="shared" si="19"/>
        <v>0</v>
      </c>
      <c r="Y69" s="3">
        <f t="shared" si="19"/>
        <v>0</v>
      </c>
      <c r="Z69" s="3">
        <f t="shared" si="19"/>
        <v>0</v>
      </c>
      <c r="AA69" s="3">
        <f t="shared" si="19"/>
        <v>0</v>
      </c>
      <c r="AB69" s="3">
        <f t="shared" si="19"/>
        <v>0</v>
      </c>
      <c r="AC69" s="3">
        <f t="shared" si="19"/>
        <v>0</v>
      </c>
      <c r="AD69" s="3">
        <f t="shared" si="19"/>
        <v>0</v>
      </c>
      <c r="AE69" s="3">
        <f t="shared" si="19"/>
        <v>0</v>
      </c>
      <c r="AF69" s="3">
        <f t="shared" si="19"/>
        <v>0</v>
      </c>
      <c r="AG69" s="3">
        <f t="shared" si="19"/>
        <v>0</v>
      </c>
      <c r="AH69" s="3">
        <f t="shared" si="19"/>
        <v>0</v>
      </c>
      <c r="AI69" s="3">
        <f t="shared" si="19"/>
        <v>0</v>
      </c>
      <c r="AJ69" s="3">
        <f t="shared" si="19"/>
        <v>0</v>
      </c>
      <c r="AK69" s="3">
        <f t="shared" si="19"/>
        <v>0</v>
      </c>
      <c r="AL69" s="3">
        <f t="shared" si="19"/>
        <v>0</v>
      </c>
      <c r="AM69" s="3">
        <f t="shared" si="19"/>
        <v>0</v>
      </c>
      <c r="AN69" s="3">
        <f t="shared" si="19"/>
        <v>0</v>
      </c>
      <c r="AO69" s="3">
        <f t="shared" si="19"/>
        <v>0</v>
      </c>
      <c r="AP69" s="3">
        <f t="shared" si="19"/>
        <v>0</v>
      </c>
      <c r="AQ69" s="3">
        <f t="shared" si="19"/>
        <v>0</v>
      </c>
      <c r="AR69" s="3">
        <f t="shared" si="19"/>
        <v>0</v>
      </c>
      <c r="AS69" s="3">
        <f t="shared" si="19"/>
        <v>0</v>
      </c>
      <c r="AT69" s="3">
        <f t="shared" si="19"/>
        <v>0</v>
      </c>
      <c r="AU69" s="3">
        <f t="shared" si="19"/>
        <v>0</v>
      </c>
      <c r="AV69" s="3">
        <f t="shared" si="19"/>
        <v>0</v>
      </c>
      <c r="AW69" s="3">
        <f t="shared" si="19"/>
        <v>0</v>
      </c>
      <c r="AX69" s="3">
        <f t="shared" si="19"/>
        <v>0</v>
      </c>
      <c r="AY69" s="3">
        <f t="shared" si="19"/>
        <v>0</v>
      </c>
      <c r="AZ69" s="3">
        <f t="shared" si="19"/>
        <v>0</v>
      </c>
      <c r="BA69" s="3">
        <f t="shared" si="19"/>
        <v>0</v>
      </c>
      <c r="BB69" s="3">
        <f t="shared" si="19"/>
        <v>0</v>
      </c>
      <c r="BC69" s="3">
        <f t="shared" si="19"/>
        <v>0</v>
      </c>
      <c r="BD69" s="3">
        <f t="shared" si="19"/>
        <v>0</v>
      </c>
      <c r="BE69" s="3">
        <f t="shared" si="19"/>
        <v>0</v>
      </c>
      <c r="BF69" s="3">
        <f t="shared" si="19"/>
        <v>0</v>
      </c>
      <c r="BG69" s="3">
        <f t="shared" si="19"/>
        <v>0</v>
      </c>
      <c r="BH69" s="3">
        <f t="shared" si="19"/>
        <v>0</v>
      </c>
      <c r="BI69" s="3">
        <f t="shared" si="19"/>
        <v>0</v>
      </c>
      <c r="BJ69" s="3">
        <f t="shared" si="19"/>
        <v>0</v>
      </c>
    </row>
    <row r="70" spans="4:62" x14ac:dyDescent="0.15">
      <c r="D70" s="11" t="str">
        <f>Вводные!$D$87</f>
        <v>Ежемесячный расход 18</v>
      </c>
      <c r="E70" s="12" t="s">
        <v>110</v>
      </c>
      <c r="I70" s="20">
        <f>Вводные!F87 * Вводные!$F$12</f>
        <v>0</v>
      </c>
      <c r="J70" s="3">
        <f t="shared" ref="J70:BJ70" si="20">$I70 * J92  * J30</f>
        <v>0</v>
      </c>
      <c r="K70" s="3">
        <f t="shared" si="20"/>
        <v>0</v>
      </c>
      <c r="L70" s="3">
        <f t="shared" si="20"/>
        <v>0</v>
      </c>
      <c r="M70" s="3">
        <f t="shared" si="20"/>
        <v>0</v>
      </c>
      <c r="N70" s="3">
        <f t="shared" si="20"/>
        <v>0</v>
      </c>
      <c r="O70" s="3">
        <f t="shared" si="20"/>
        <v>0</v>
      </c>
      <c r="P70" s="3">
        <f t="shared" si="20"/>
        <v>0</v>
      </c>
      <c r="Q70" s="3">
        <f t="shared" si="20"/>
        <v>0</v>
      </c>
      <c r="R70" s="3">
        <f t="shared" si="20"/>
        <v>0</v>
      </c>
      <c r="S70" s="3">
        <f t="shared" si="20"/>
        <v>0</v>
      </c>
      <c r="T70" s="3">
        <f t="shared" si="20"/>
        <v>0</v>
      </c>
      <c r="U70" s="3">
        <f t="shared" si="20"/>
        <v>0</v>
      </c>
      <c r="V70" s="3">
        <f t="shared" si="20"/>
        <v>0</v>
      </c>
      <c r="W70" s="3">
        <f t="shared" si="20"/>
        <v>0</v>
      </c>
      <c r="X70" s="3">
        <f t="shared" si="20"/>
        <v>0</v>
      </c>
      <c r="Y70" s="3">
        <f t="shared" si="20"/>
        <v>0</v>
      </c>
      <c r="Z70" s="3">
        <f t="shared" si="20"/>
        <v>0</v>
      </c>
      <c r="AA70" s="3">
        <f t="shared" si="20"/>
        <v>0</v>
      </c>
      <c r="AB70" s="3">
        <f t="shared" si="20"/>
        <v>0</v>
      </c>
      <c r="AC70" s="3">
        <f t="shared" si="20"/>
        <v>0</v>
      </c>
      <c r="AD70" s="3">
        <f t="shared" si="20"/>
        <v>0</v>
      </c>
      <c r="AE70" s="3">
        <f t="shared" si="20"/>
        <v>0</v>
      </c>
      <c r="AF70" s="3">
        <f t="shared" si="20"/>
        <v>0</v>
      </c>
      <c r="AG70" s="3">
        <f t="shared" si="20"/>
        <v>0</v>
      </c>
      <c r="AH70" s="3">
        <f t="shared" si="20"/>
        <v>0</v>
      </c>
      <c r="AI70" s="3">
        <f t="shared" si="20"/>
        <v>0</v>
      </c>
      <c r="AJ70" s="3">
        <f t="shared" si="20"/>
        <v>0</v>
      </c>
      <c r="AK70" s="3">
        <f t="shared" si="20"/>
        <v>0</v>
      </c>
      <c r="AL70" s="3">
        <f t="shared" si="20"/>
        <v>0</v>
      </c>
      <c r="AM70" s="3">
        <f t="shared" si="20"/>
        <v>0</v>
      </c>
      <c r="AN70" s="3">
        <f t="shared" si="20"/>
        <v>0</v>
      </c>
      <c r="AO70" s="3">
        <f t="shared" si="20"/>
        <v>0</v>
      </c>
      <c r="AP70" s="3">
        <f t="shared" si="20"/>
        <v>0</v>
      </c>
      <c r="AQ70" s="3">
        <f t="shared" si="20"/>
        <v>0</v>
      </c>
      <c r="AR70" s="3">
        <f t="shared" si="20"/>
        <v>0</v>
      </c>
      <c r="AS70" s="3">
        <f t="shared" si="20"/>
        <v>0</v>
      </c>
      <c r="AT70" s="3">
        <f t="shared" si="20"/>
        <v>0</v>
      </c>
      <c r="AU70" s="3">
        <f t="shared" si="20"/>
        <v>0</v>
      </c>
      <c r="AV70" s="3">
        <f t="shared" si="20"/>
        <v>0</v>
      </c>
      <c r="AW70" s="3">
        <f t="shared" si="20"/>
        <v>0</v>
      </c>
      <c r="AX70" s="3">
        <f t="shared" si="20"/>
        <v>0</v>
      </c>
      <c r="AY70" s="3">
        <f t="shared" si="20"/>
        <v>0</v>
      </c>
      <c r="AZ70" s="3">
        <f t="shared" si="20"/>
        <v>0</v>
      </c>
      <c r="BA70" s="3">
        <f t="shared" si="20"/>
        <v>0</v>
      </c>
      <c r="BB70" s="3">
        <f t="shared" si="20"/>
        <v>0</v>
      </c>
      <c r="BC70" s="3">
        <f t="shared" si="20"/>
        <v>0</v>
      </c>
      <c r="BD70" s="3">
        <f t="shared" si="20"/>
        <v>0</v>
      </c>
      <c r="BE70" s="3">
        <f t="shared" si="20"/>
        <v>0</v>
      </c>
      <c r="BF70" s="3">
        <f t="shared" si="20"/>
        <v>0</v>
      </c>
      <c r="BG70" s="3">
        <f t="shared" si="20"/>
        <v>0</v>
      </c>
      <c r="BH70" s="3">
        <f t="shared" si="20"/>
        <v>0</v>
      </c>
      <c r="BI70" s="3">
        <f t="shared" si="20"/>
        <v>0</v>
      </c>
      <c r="BJ70" s="3">
        <f t="shared" si="20"/>
        <v>0</v>
      </c>
    </row>
    <row r="71" spans="4:62" x14ac:dyDescent="0.15">
      <c r="D71" s="11" t="str">
        <f>Вводные!$D$88</f>
        <v>Ежемесячный расход 19</v>
      </c>
      <c r="E71" s="12" t="s">
        <v>110</v>
      </c>
      <c r="I71" s="20">
        <f>Вводные!F88 * Вводные!$F$12</f>
        <v>0</v>
      </c>
      <c r="J71" s="3">
        <f t="shared" ref="J71:BJ71" si="21">$I71 * J93  * J31</f>
        <v>0</v>
      </c>
      <c r="K71" s="3">
        <f t="shared" si="21"/>
        <v>0</v>
      </c>
      <c r="L71" s="3">
        <f t="shared" si="21"/>
        <v>0</v>
      </c>
      <c r="M71" s="3">
        <f t="shared" si="21"/>
        <v>0</v>
      </c>
      <c r="N71" s="3">
        <f t="shared" si="21"/>
        <v>0</v>
      </c>
      <c r="O71" s="3">
        <f t="shared" si="21"/>
        <v>0</v>
      </c>
      <c r="P71" s="3">
        <f t="shared" si="21"/>
        <v>0</v>
      </c>
      <c r="Q71" s="3">
        <f t="shared" si="21"/>
        <v>0</v>
      </c>
      <c r="R71" s="3">
        <f t="shared" si="21"/>
        <v>0</v>
      </c>
      <c r="S71" s="3">
        <f t="shared" si="21"/>
        <v>0</v>
      </c>
      <c r="T71" s="3">
        <f t="shared" si="21"/>
        <v>0</v>
      </c>
      <c r="U71" s="3">
        <f t="shared" si="21"/>
        <v>0</v>
      </c>
      <c r="V71" s="3">
        <f t="shared" si="21"/>
        <v>0</v>
      </c>
      <c r="W71" s="3">
        <f t="shared" si="21"/>
        <v>0</v>
      </c>
      <c r="X71" s="3">
        <f t="shared" si="21"/>
        <v>0</v>
      </c>
      <c r="Y71" s="3">
        <f t="shared" si="21"/>
        <v>0</v>
      </c>
      <c r="Z71" s="3">
        <f t="shared" si="21"/>
        <v>0</v>
      </c>
      <c r="AA71" s="3">
        <f t="shared" si="21"/>
        <v>0</v>
      </c>
      <c r="AB71" s="3">
        <f t="shared" si="21"/>
        <v>0</v>
      </c>
      <c r="AC71" s="3">
        <f t="shared" si="21"/>
        <v>0</v>
      </c>
      <c r="AD71" s="3">
        <f t="shared" si="21"/>
        <v>0</v>
      </c>
      <c r="AE71" s="3">
        <f t="shared" si="21"/>
        <v>0</v>
      </c>
      <c r="AF71" s="3">
        <f t="shared" si="21"/>
        <v>0</v>
      </c>
      <c r="AG71" s="3">
        <f t="shared" si="21"/>
        <v>0</v>
      </c>
      <c r="AH71" s="3">
        <f t="shared" si="21"/>
        <v>0</v>
      </c>
      <c r="AI71" s="3">
        <f t="shared" si="21"/>
        <v>0</v>
      </c>
      <c r="AJ71" s="3">
        <f t="shared" si="21"/>
        <v>0</v>
      </c>
      <c r="AK71" s="3">
        <f t="shared" si="21"/>
        <v>0</v>
      </c>
      <c r="AL71" s="3">
        <f t="shared" si="21"/>
        <v>0</v>
      </c>
      <c r="AM71" s="3">
        <f t="shared" si="21"/>
        <v>0</v>
      </c>
      <c r="AN71" s="3">
        <f t="shared" si="21"/>
        <v>0</v>
      </c>
      <c r="AO71" s="3">
        <f t="shared" si="21"/>
        <v>0</v>
      </c>
      <c r="AP71" s="3">
        <f t="shared" si="21"/>
        <v>0</v>
      </c>
      <c r="AQ71" s="3">
        <f t="shared" si="21"/>
        <v>0</v>
      </c>
      <c r="AR71" s="3">
        <f t="shared" si="21"/>
        <v>0</v>
      </c>
      <c r="AS71" s="3">
        <f t="shared" si="21"/>
        <v>0</v>
      </c>
      <c r="AT71" s="3">
        <f t="shared" si="21"/>
        <v>0</v>
      </c>
      <c r="AU71" s="3">
        <f t="shared" si="21"/>
        <v>0</v>
      </c>
      <c r="AV71" s="3">
        <f t="shared" si="21"/>
        <v>0</v>
      </c>
      <c r="AW71" s="3">
        <f t="shared" si="21"/>
        <v>0</v>
      </c>
      <c r="AX71" s="3">
        <f t="shared" si="21"/>
        <v>0</v>
      </c>
      <c r="AY71" s="3">
        <f t="shared" si="21"/>
        <v>0</v>
      </c>
      <c r="AZ71" s="3">
        <f t="shared" si="21"/>
        <v>0</v>
      </c>
      <c r="BA71" s="3">
        <f t="shared" si="21"/>
        <v>0</v>
      </c>
      <c r="BB71" s="3">
        <f t="shared" si="21"/>
        <v>0</v>
      </c>
      <c r="BC71" s="3">
        <f t="shared" si="21"/>
        <v>0</v>
      </c>
      <c r="BD71" s="3">
        <f t="shared" si="21"/>
        <v>0</v>
      </c>
      <c r="BE71" s="3">
        <f t="shared" si="21"/>
        <v>0</v>
      </c>
      <c r="BF71" s="3">
        <f t="shared" si="21"/>
        <v>0</v>
      </c>
      <c r="BG71" s="3">
        <f t="shared" si="21"/>
        <v>0</v>
      </c>
      <c r="BH71" s="3">
        <f t="shared" si="21"/>
        <v>0</v>
      </c>
      <c r="BI71" s="3">
        <f t="shared" si="21"/>
        <v>0</v>
      </c>
      <c r="BJ71" s="3">
        <f t="shared" si="21"/>
        <v>0</v>
      </c>
    </row>
    <row r="72" spans="4:62" x14ac:dyDescent="0.15">
      <c r="D72" s="11" t="str">
        <f>Вводные!$D$89</f>
        <v>Ежемесячный расход 20</v>
      </c>
      <c r="E72" s="12" t="s">
        <v>110</v>
      </c>
      <c r="I72" s="20">
        <f>Вводные!F89 * Вводные!$F$12</f>
        <v>0</v>
      </c>
      <c r="J72" s="3">
        <f t="shared" ref="J72:BJ72" si="22">$I72 * J94  * J32</f>
        <v>0</v>
      </c>
      <c r="K72" s="3">
        <f t="shared" si="22"/>
        <v>0</v>
      </c>
      <c r="L72" s="3">
        <f t="shared" si="22"/>
        <v>0</v>
      </c>
      <c r="M72" s="3">
        <f t="shared" si="22"/>
        <v>0</v>
      </c>
      <c r="N72" s="3">
        <f t="shared" si="22"/>
        <v>0</v>
      </c>
      <c r="O72" s="3">
        <f t="shared" si="22"/>
        <v>0</v>
      </c>
      <c r="P72" s="3">
        <f t="shared" si="22"/>
        <v>0</v>
      </c>
      <c r="Q72" s="3">
        <f t="shared" si="22"/>
        <v>0</v>
      </c>
      <c r="R72" s="3">
        <f t="shared" si="22"/>
        <v>0</v>
      </c>
      <c r="S72" s="3">
        <f t="shared" si="22"/>
        <v>0</v>
      </c>
      <c r="T72" s="3">
        <f t="shared" si="22"/>
        <v>0</v>
      </c>
      <c r="U72" s="3">
        <f t="shared" si="22"/>
        <v>0</v>
      </c>
      <c r="V72" s="3">
        <f t="shared" si="22"/>
        <v>0</v>
      </c>
      <c r="W72" s="3">
        <f t="shared" si="22"/>
        <v>0</v>
      </c>
      <c r="X72" s="3">
        <f t="shared" si="22"/>
        <v>0</v>
      </c>
      <c r="Y72" s="3">
        <f t="shared" si="22"/>
        <v>0</v>
      </c>
      <c r="Z72" s="3">
        <f t="shared" si="22"/>
        <v>0</v>
      </c>
      <c r="AA72" s="3">
        <f t="shared" si="22"/>
        <v>0</v>
      </c>
      <c r="AB72" s="3">
        <f t="shared" si="22"/>
        <v>0</v>
      </c>
      <c r="AC72" s="3">
        <f t="shared" si="22"/>
        <v>0</v>
      </c>
      <c r="AD72" s="3">
        <f t="shared" si="22"/>
        <v>0</v>
      </c>
      <c r="AE72" s="3">
        <f t="shared" si="22"/>
        <v>0</v>
      </c>
      <c r="AF72" s="3">
        <f t="shared" si="22"/>
        <v>0</v>
      </c>
      <c r="AG72" s="3">
        <f t="shared" si="22"/>
        <v>0</v>
      </c>
      <c r="AH72" s="3">
        <f t="shared" si="22"/>
        <v>0</v>
      </c>
      <c r="AI72" s="3">
        <f t="shared" si="22"/>
        <v>0</v>
      </c>
      <c r="AJ72" s="3">
        <f t="shared" si="22"/>
        <v>0</v>
      </c>
      <c r="AK72" s="3">
        <f t="shared" si="22"/>
        <v>0</v>
      </c>
      <c r="AL72" s="3">
        <f t="shared" si="22"/>
        <v>0</v>
      </c>
      <c r="AM72" s="3">
        <f t="shared" si="22"/>
        <v>0</v>
      </c>
      <c r="AN72" s="3">
        <f t="shared" si="22"/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3">
        <f t="shared" si="22"/>
        <v>0</v>
      </c>
      <c r="AS72" s="3">
        <f t="shared" si="22"/>
        <v>0</v>
      </c>
      <c r="AT72" s="3">
        <f t="shared" si="22"/>
        <v>0</v>
      </c>
      <c r="AU72" s="3">
        <f t="shared" si="22"/>
        <v>0</v>
      </c>
      <c r="AV72" s="3">
        <f t="shared" si="22"/>
        <v>0</v>
      </c>
      <c r="AW72" s="3">
        <f t="shared" si="22"/>
        <v>0</v>
      </c>
      <c r="AX72" s="3">
        <f t="shared" si="22"/>
        <v>0</v>
      </c>
      <c r="AY72" s="3">
        <f t="shared" si="22"/>
        <v>0</v>
      </c>
      <c r="AZ72" s="3">
        <f t="shared" si="22"/>
        <v>0</v>
      </c>
      <c r="BA72" s="3">
        <f t="shared" si="22"/>
        <v>0</v>
      </c>
      <c r="BB72" s="3">
        <f t="shared" si="22"/>
        <v>0</v>
      </c>
      <c r="BC72" s="3">
        <f t="shared" si="22"/>
        <v>0</v>
      </c>
      <c r="BD72" s="3">
        <f t="shared" si="22"/>
        <v>0</v>
      </c>
      <c r="BE72" s="3">
        <f t="shared" si="22"/>
        <v>0</v>
      </c>
      <c r="BF72" s="3">
        <f t="shared" si="22"/>
        <v>0</v>
      </c>
      <c r="BG72" s="3">
        <f t="shared" si="22"/>
        <v>0</v>
      </c>
      <c r="BH72" s="3">
        <f t="shared" si="22"/>
        <v>0</v>
      </c>
      <c r="BI72" s="3">
        <f t="shared" si="22"/>
        <v>0</v>
      </c>
      <c r="BJ72" s="3">
        <f t="shared" si="22"/>
        <v>0</v>
      </c>
    </row>
    <row r="73" spans="4:62" x14ac:dyDescent="0.15">
      <c r="E73" s="12"/>
    </row>
    <row r="74" spans="4:62" x14ac:dyDescent="0.15">
      <c r="D74" s="8" t="s">
        <v>11</v>
      </c>
      <c r="E74" s="15" t="s">
        <v>4</v>
      </c>
    </row>
    <row r="75" spans="4:62" x14ac:dyDescent="0.15">
      <c r="D75" s="9" t="str">
        <f>Вводные!$D$92</f>
        <v>Темп роста Еда</v>
      </c>
      <c r="E75" s="12" t="s">
        <v>4</v>
      </c>
      <c r="I75" s="23">
        <v>1</v>
      </c>
      <c r="J75" s="5">
        <f>I75 * (1+Вводные!J92)</f>
        <v>1</v>
      </c>
      <c r="K75" s="5">
        <f>J75 * (1+Вводные!K92)</f>
        <v>1.03</v>
      </c>
      <c r="L75" s="5">
        <f>K75 * (1+Вводные!L92)</f>
        <v>1.0609</v>
      </c>
      <c r="M75" s="5">
        <f>L75 * (1+Вводные!M92)</f>
        <v>1.092727</v>
      </c>
      <c r="N75" s="5">
        <f>M75 * (1+Вводные!N92)</f>
        <v>1.1255088100000001</v>
      </c>
      <c r="O75" s="5">
        <f>N75 * (1+Вводные!O92)</f>
        <v>1.1592740743000001</v>
      </c>
      <c r="P75" s="5">
        <f>O75 * (1+Вводные!P92)</f>
        <v>1.1940522965290001</v>
      </c>
      <c r="Q75" s="5">
        <f>P75 * (1+Вводные!Q92)</f>
        <v>1.2298738654248702</v>
      </c>
      <c r="R75" s="5">
        <f>Q75 * (1+Вводные!R92)</f>
        <v>1.2667700813876164</v>
      </c>
      <c r="S75" s="5">
        <f>R75 * (1+Вводные!S92)</f>
        <v>1.3047731838292449</v>
      </c>
      <c r="T75" s="5">
        <f>S75 * (1+Вводные!T92)</f>
        <v>1.3439163793441222</v>
      </c>
      <c r="U75" s="5">
        <f>T75 * (1+Вводные!U92)</f>
        <v>1.3842338707244459</v>
      </c>
      <c r="V75" s="5">
        <f>U75 * (1+Вводные!V92)</f>
        <v>1.4257608868461793</v>
      </c>
      <c r="W75" s="5">
        <f>V75 * (1+Вводные!W92)</f>
        <v>1.4685337134515648</v>
      </c>
      <c r="X75" s="5">
        <f>W75 * (1+Вводные!X92)</f>
        <v>1.5125897248551119</v>
      </c>
      <c r="Y75" s="5">
        <f>X75 * (1+Вводные!Y92)</f>
        <v>1.5579674166007653</v>
      </c>
      <c r="Z75" s="5">
        <f>Y75 * (1+Вводные!Z92)</f>
        <v>1.6047064390987884</v>
      </c>
      <c r="AA75" s="5">
        <f>Z75 * (1+Вводные!AA92)</f>
        <v>1.652847632271752</v>
      </c>
      <c r="AB75" s="5">
        <f>AA75 * (1+Вводные!AB92)</f>
        <v>1.7024330612399046</v>
      </c>
      <c r="AC75" s="5">
        <f>AB75 * (1+Вводные!AC92)</f>
        <v>1.7535060530771018</v>
      </c>
      <c r="AD75" s="5">
        <f>AC75 * (1+Вводные!AD92)</f>
        <v>1.806111234669415</v>
      </c>
      <c r="AE75" s="5">
        <f>AD75 * (1+Вводные!AE92)</f>
        <v>1.8602945717094976</v>
      </c>
      <c r="AF75" s="5">
        <f>AE75 * (1+Вводные!AF92)</f>
        <v>1.9161034088607827</v>
      </c>
      <c r="AG75" s="5">
        <f>AF75 * (1+Вводные!AG92)</f>
        <v>1.9735865111266062</v>
      </c>
      <c r="AH75" s="5">
        <f>AG75 * (1+Вводные!AH92)</f>
        <v>2.0327941064604045</v>
      </c>
      <c r="AI75" s="5">
        <f>AH75 * (1+Вводные!AI92)</f>
        <v>2.0937779296542165</v>
      </c>
      <c r="AJ75" s="5">
        <f>AI75 * (1+Вводные!AJ92)</f>
        <v>2.1565912675438432</v>
      </c>
      <c r="AK75" s="5">
        <f>AJ75 * (1+Вводные!AK92)</f>
        <v>2.2212890055701586</v>
      </c>
      <c r="AL75" s="5">
        <f>AK75 * (1+Вводные!AL92)</f>
        <v>2.2879276757372633</v>
      </c>
      <c r="AM75" s="5">
        <f>AL75 * (1+Вводные!AM92)</f>
        <v>2.3565655060093813</v>
      </c>
      <c r="AN75" s="5">
        <f>AM75 * (1+Вводные!AN92)</f>
        <v>2.4272624711896627</v>
      </c>
      <c r="AO75" s="5">
        <f>AN75 * (1+Вводные!AO92)</f>
        <v>2.5000803453253524</v>
      </c>
      <c r="AP75" s="5">
        <f>AO75 * (1+Вводные!AP92)</f>
        <v>2.5750827556851132</v>
      </c>
      <c r="AQ75" s="5">
        <f>AP75 * (1+Вводные!AQ92)</f>
        <v>2.6523352383556666</v>
      </c>
      <c r="AR75" s="5">
        <f>AQ75 * (1+Вводные!AR92)</f>
        <v>2.7319052955063365</v>
      </c>
      <c r="AS75" s="5">
        <f>AR75 * (1+Вводные!AS92)</f>
        <v>2.8138624543715265</v>
      </c>
      <c r="AT75" s="5">
        <f>AS75 * (1+Вводные!AT92)</f>
        <v>2.8982783280026725</v>
      </c>
      <c r="AU75" s="5">
        <f>AT75 * (1+Вводные!AU92)</f>
        <v>2.9852266778427525</v>
      </c>
      <c r="AV75" s="5">
        <f>AU75 * (1+Вводные!AV92)</f>
        <v>3.074783478178035</v>
      </c>
      <c r="AW75" s="5">
        <f>AV75 * (1+Вводные!AW92)</f>
        <v>3.1670269825233763</v>
      </c>
      <c r="AX75" s="5">
        <f>AW75 * (1+Вводные!AX92)</f>
        <v>3.2620377919990777</v>
      </c>
      <c r="AY75" s="5">
        <f>AX75 * (1+Вводные!AY92)</f>
        <v>3.3598989257590501</v>
      </c>
      <c r="AZ75" s="5">
        <f>AY75 * (1+Вводные!AZ92)</f>
        <v>3.4606958935318217</v>
      </c>
      <c r="BA75" s="5">
        <f>AZ75 * (1+Вводные!BA92)</f>
        <v>3.5645167703377765</v>
      </c>
      <c r="BB75" s="5">
        <f>BA75 * (1+Вводные!BB92)</f>
        <v>3.67145227344791</v>
      </c>
      <c r="BC75" s="5">
        <f>BB75 * (1+Вводные!BC92)</f>
        <v>3.7815958416513475</v>
      </c>
      <c r="BD75" s="5">
        <f>BC75 * (1+Вводные!BD92)</f>
        <v>3.8950437169008882</v>
      </c>
      <c r="BE75" s="5">
        <f>BD75 * (1+Вводные!BE92)</f>
        <v>4.0118950284079151</v>
      </c>
      <c r="BF75" s="5">
        <f>BE75 * (1+Вводные!BF92)</f>
        <v>4.1322518792601528</v>
      </c>
      <c r="BG75" s="5">
        <f>BF75 * (1+Вводные!BG92)</f>
        <v>4.2562194356379575</v>
      </c>
      <c r="BH75" s="5">
        <f>BG75 * (1+Вводные!BH92)</f>
        <v>4.383906018707096</v>
      </c>
      <c r="BI75" s="5">
        <f>BH75 * (1+Вводные!BI92)</f>
        <v>4.5154231992683087</v>
      </c>
      <c r="BJ75" s="5">
        <f>BI75 * (1+Вводные!BJ92)</f>
        <v>4.6508858952463576</v>
      </c>
    </row>
    <row r="76" spans="4:62" x14ac:dyDescent="0.15">
      <c r="D76" s="9" t="str">
        <f>Вводные!$D$93</f>
        <v>Темп роста Садик</v>
      </c>
      <c r="E76" s="12" t="s">
        <v>4</v>
      </c>
      <c r="I76" s="23">
        <v>1</v>
      </c>
      <c r="J76" s="5">
        <f>I76 * (1+Вводные!J93)</f>
        <v>1</v>
      </c>
      <c r="K76" s="5">
        <f>J76 * (1+Вводные!K93)</f>
        <v>1.03</v>
      </c>
      <c r="L76" s="5">
        <f>K76 * (1+Вводные!L93)</f>
        <v>1.0609</v>
      </c>
      <c r="M76" s="5">
        <f>L76 * (1+Вводные!M93)</f>
        <v>1.092727</v>
      </c>
      <c r="N76" s="5">
        <f>M76 * (1+Вводные!N93)</f>
        <v>1.1255088100000001</v>
      </c>
      <c r="O76" s="5">
        <f>N76 * (1+Вводные!O93)</f>
        <v>1.1592740743000001</v>
      </c>
      <c r="P76" s="5">
        <f>O76 * (1+Вводные!P93)</f>
        <v>1.1940522965290001</v>
      </c>
      <c r="Q76" s="5">
        <f>P76 * (1+Вводные!Q93)</f>
        <v>1.2298738654248702</v>
      </c>
      <c r="R76" s="5">
        <f>Q76 * (1+Вводные!R93)</f>
        <v>1.2667700813876164</v>
      </c>
      <c r="S76" s="5">
        <f>R76 * (1+Вводные!S93)</f>
        <v>1.3047731838292449</v>
      </c>
      <c r="T76" s="5">
        <f>S76 * (1+Вводные!T93)</f>
        <v>1.3439163793441222</v>
      </c>
      <c r="U76" s="5">
        <f>T76 * (1+Вводные!U93)</f>
        <v>1.3842338707244459</v>
      </c>
      <c r="V76" s="5">
        <f>U76 * (1+Вводные!V93)</f>
        <v>1.4257608868461793</v>
      </c>
      <c r="W76" s="5">
        <f>V76 * (1+Вводные!W93)</f>
        <v>1.4685337134515648</v>
      </c>
      <c r="X76" s="5">
        <f>W76 * (1+Вводные!X93)</f>
        <v>1.5125897248551119</v>
      </c>
      <c r="Y76" s="5">
        <f>X76 * (1+Вводные!Y93)</f>
        <v>1.5579674166007653</v>
      </c>
      <c r="Z76" s="5">
        <f>Y76 * (1+Вводные!Z93)</f>
        <v>1.6047064390987884</v>
      </c>
      <c r="AA76" s="5">
        <f>Z76 * (1+Вводные!AA93)</f>
        <v>1.652847632271752</v>
      </c>
      <c r="AB76" s="5">
        <f>AA76 * (1+Вводные!AB93)</f>
        <v>1.7024330612399046</v>
      </c>
      <c r="AC76" s="5">
        <f>AB76 * (1+Вводные!AC93)</f>
        <v>1.7535060530771018</v>
      </c>
      <c r="AD76" s="5">
        <f>AC76 * (1+Вводные!AD93)</f>
        <v>1.806111234669415</v>
      </c>
      <c r="AE76" s="5">
        <f>AD76 * (1+Вводные!AE93)</f>
        <v>1.8602945717094976</v>
      </c>
      <c r="AF76" s="5">
        <f>AE76 * (1+Вводные!AF93)</f>
        <v>1.9161034088607827</v>
      </c>
      <c r="AG76" s="5">
        <f>AF76 * (1+Вводные!AG93)</f>
        <v>1.9735865111266062</v>
      </c>
      <c r="AH76" s="5">
        <f>AG76 * (1+Вводные!AH93)</f>
        <v>2.0327941064604045</v>
      </c>
      <c r="AI76" s="5">
        <f>AH76 * (1+Вводные!AI93)</f>
        <v>2.0937779296542165</v>
      </c>
      <c r="AJ76" s="5">
        <f>AI76 * (1+Вводные!AJ93)</f>
        <v>2.1565912675438432</v>
      </c>
      <c r="AK76" s="5">
        <f>AJ76 * (1+Вводные!AK93)</f>
        <v>2.2212890055701586</v>
      </c>
      <c r="AL76" s="5">
        <f>AK76 * (1+Вводные!AL93)</f>
        <v>2.2879276757372633</v>
      </c>
      <c r="AM76" s="5">
        <f>AL76 * (1+Вводные!AM93)</f>
        <v>2.3565655060093813</v>
      </c>
      <c r="AN76" s="5">
        <f>AM76 * (1+Вводные!AN93)</f>
        <v>2.4272624711896627</v>
      </c>
      <c r="AO76" s="5">
        <f>AN76 * (1+Вводные!AO93)</f>
        <v>2.5000803453253524</v>
      </c>
      <c r="AP76" s="5">
        <f>AO76 * (1+Вводные!AP93)</f>
        <v>2.5750827556851132</v>
      </c>
      <c r="AQ76" s="5">
        <f>AP76 * (1+Вводные!AQ93)</f>
        <v>2.6523352383556666</v>
      </c>
      <c r="AR76" s="5">
        <f>AQ76 * (1+Вводные!AR93)</f>
        <v>2.7319052955063365</v>
      </c>
      <c r="AS76" s="5">
        <f>AR76 * (1+Вводные!AS93)</f>
        <v>2.8138624543715265</v>
      </c>
      <c r="AT76" s="5">
        <f>AS76 * (1+Вводные!AT93)</f>
        <v>2.8982783280026725</v>
      </c>
      <c r="AU76" s="5">
        <f>AT76 * (1+Вводные!AU93)</f>
        <v>2.9852266778427525</v>
      </c>
      <c r="AV76" s="5">
        <f>AU76 * (1+Вводные!AV93)</f>
        <v>3.074783478178035</v>
      </c>
      <c r="AW76" s="5">
        <f>AV76 * (1+Вводные!AW93)</f>
        <v>3.1670269825233763</v>
      </c>
      <c r="AX76" s="5">
        <f>AW76 * (1+Вводные!AX93)</f>
        <v>3.2620377919990777</v>
      </c>
      <c r="AY76" s="5">
        <f>AX76 * (1+Вводные!AY93)</f>
        <v>3.3598989257590501</v>
      </c>
      <c r="AZ76" s="5">
        <f>AY76 * (1+Вводные!AZ93)</f>
        <v>3.4606958935318217</v>
      </c>
      <c r="BA76" s="5">
        <f>AZ76 * (1+Вводные!BA93)</f>
        <v>3.5645167703377765</v>
      </c>
      <c r="BB76" s="5">
        <f>BA76 * (1+Вводные!BB93)</f>
        <v>3.67145227344791</v>
      </c>
      <c r="BC76" s="5">
        <f>BB76 * (1+Вводные!BC93)</f>
        <v>3.7815958416513475</v>
      </c>
      <c r="BD76" s="5">
        <f>BC76 * (1+Вводные!BD93)</f>
        <v>3.8950437169008882</v>
      </c>
      <c r="BE76" s="5">
        <f>BD76 * (1+Вводные!BE93)</f>
        <v>4.0118950284079151</v>
      </c>
      <c r="BF76" s="5">
        <f>BE76 * (1+Вводные!BF93)</f>
        <v>4.1322518792601528</v>
      </c>
      <c r="BG76" s="5">
        <f>BF76 * (1+Вводные!BG93)</f>
        <v>4.2562194356379575</v>
      </c>
      <c r="BH76" s="5">
        <f>BG76 * (1+Вводные!BH93)</f>
        <v>4.383906018707096</v>
      </c>
      <c r="BI76" s="5">
        <f>BH76 * (1+Вводные!BI93)</f>
        <v>4.5154231992683087</v>
      </c>
      <c r="BJ76" s="5">
        <f>BI76 * (1+Вводные!BJ93)</f>
        <v>4.6508858952463576</v>
      </c>
    </row>
    <row r="77" spans="4:62" x14ac:dyDescent="0.15">
      <c r="D77" s="9" t="str">
        <f>Вводные!$D$94</f>
        <v>Темп роста Няня</v>
      </c>
      <c r="E77" s="12" t="s">
        <v>4</v>
      </c>
      <c r="I77" s="23">
        <v>1</v>
      </c>
      <c r="J77" s="5">
        <f>I77 * (1+Вводные!J94)</f>
        <v>1</v>
      </c>
      <c r="K77" s="5">
        <f>J77 * (1+Вводные!K94)</f>
        <v>1.03</v>
      </c>
      <c r="L77" s="5">
        <f>K77 * (1+Вводные!L94)</f>
        <v>1.0609</v>
      </c>
      <c r="M77" s="5">
        <f>L77 * (1+Вводные!M94)</f>
        <v>1.092727</v>
      </c>
      <c r="N77" s="5">
        <f>M77 * (1+Вводные!N94)</f>
        <v>1.1255088100000001</v>
      </c>
      <c r="O77" s="5">
        <f>N77 * (1+Вводные!O94)</f>
        <v>1.1592740743000001</v>
      </c>
      <c r="P77" s="5">
        <f>O77 * (1+Вводные!P94)</f>
        <v>1.1940522965290001</v>
      </c>
      <c r="Q77" s="5">
        <f>P77 * (1+Вводные!Q94)</f>
        <v>1.2298738654248702</v>
      </c>
      <c r="R77" s="5">
        <f>Q77 * (1+Вводные!R94)</f>
        <v>1.2667700813876164</v>
      </c>
      <c r="S77" s="5">
        <f>R77 * (1+Вводные!S94)</f>
        <v>1.3047731838292449</v>
      </c>
      <c r="T77" s="5">
        <f>S77 * (1+Вводные!T94)</f>
        <v>1.3439163793441222</v>
      </c>
      <c r="U77" s="5">
        <f>T77 * (1+Вводные!U94)</f>
        <v>1.3842338707244459</v>
      </c>
      <c r="V77" s="5">
        <f>U77 * (1+Вводные!V94)</f>
        <v>1.4257608868461793</v>
      </c>
      <c r="W77" s="5">
        <f>V77 * (1+Вводные!W94)</f>
        <v>1.4685337134515648</v>
      </c>
      <c r="X77" s="5">
        <f>W77 * (1+Вводные!X94)</f>
        <v>1.5125897248551119</v>
      </c>
      <c r="Y77" s="5">
        <f>X77 * (1+Вводные!Y94)</f>
        <v>1.5579674166007653</v>
      </c>
      <c r="Z77" s="5">
        <f>Y77 * (1+Вводные!Z94)</f>
        <v>1.6047064390987884</v>
      </c>
      <c r="AA77" s="5">
        <f>Z77 * (1+Вводные!AA94)</f>
        <v>1.652847632271752</v>
      </c>
      <c r="AB77" s="5">
        <f>AA77 * (1+Вводные!AB94)</f>
        <v>1.7024330612399046</v>
      </c>
      <c r="AC77" s="5">
        <f>AB77 * (1+Вводные!AC94)</f>
        <v>1.7535060530771018</v>
      </c>
      <c r="AD77" s="5">
        <f>AC77 * (1+Вводные!AD94)</f>
        <v>1.806111234669415</v>
      </c>
      <c r="AE77" s="5">
        <f>AD77 * (1+Вводные!AE94)</f>
        <v>1.8602945717094976</v>
      </c>
      <c r="AF77" s="5">
        <f>AE77 * (1+Вводные!AF94)</f>
        <v>1.9161034088607827</v>
      </c>
      <c r="AG77" s="5">
        <f>AF77 * (1+Вводные!AG94)</f>
        <v>1.9735865111266062</v>
      </c>
      <c r="AH77" s="5">
        <f>AG77 * (1+Вводные!AH94)</f>
        <v>2.0327941064604045</v>
      </c>
      <c r="AI77" s="5">
        <f>AH77 * (1+Вводные!AI94)</f>
        <v>2.0937779296542165</v>
      </c>
      <c r="AJ77" s="5">
        <f>AI77 * (1+Вводные!AJ94)</f>
        <v>2.1565912675438432</v>
      </c>
      <c r="AK77" s="5">
        <f>AJ77 * (1+Вводные!AK94)</f>
        <v>2.2212890055701586</v>
      </c>
      <c r="AL77" s="5">
        <f>AK77 * (1+Вводные!AL94)</f>
        <v>2.2879276757372633</v>
      </c>
      <c r="AM77" s="5">
        <f>AL77 * (1+Вводные!AM94)</f>
        <v>2.3565655060093813</v>
      </c>
      <c r="AN77" s="5">
        <f>AM77 * (1+Вводные!AN94)</f>
        <v>2.4272624711896627</v>
      </c>
      <c r="AO77" s="5">
        <f>AN77 * (1+Вводные!AO94)</f>
        <v>2.5000803453253524</v>
      </c>
      <c r="AP77" s="5">
        <f>AO77 * (1+Вводные!AP94)</f>
        <v>2.5750827556851132</v>
      </c>
      <c r="AQ77" s="5">
        <f>AP77 * (1+Вводные!AQ94)</f>
        <v>2.6523352383556666</v>
      </c>
      <c r="AR77" s="5">
        <f>AQ77 * (1+Вводные!AR94)</f>
        <v>2.7319052955063365</v>
      </c>
      <c r="AS77" s="5">
        <f>AR77 * (1+Вводные!AS94)</f>
        <v>2.8138624543715265</v>
      </c>
      <c r="AT77" s="5">
        <f>AS77 * (1+Вводные!AT94)</f>
        <v>2.8982783280026725</v>
      </c>
      <c r="AU77" s="5">
        <f>AT77 * (1+Вводные!AU94)</f>
        <v>2.9852266778427525</v>
      </c>
      <c r="AV77" s="5">
        <f>AU77 * (1+Вводные!AV94)</f>
        <v>3.074783478178035</v>
      </c>
      <c r="AW77" s="5">
        <f>AV77 * (1+Вводные!AW94)</f>
        <v>3.1670269825233763</v>
      </c>
      <c r="AX77" s="5">
        <f>AW77 * (1+Вводные!AX94)</f>
        <v>3.2620377919990777</v>
      </c>
      <c r="AY77" s="5">
        <f>AX77 * (1+Вводные!AY94)</f>
        <v>3.3598989257590501</v>
      </c>
      <c r="AZ77" s="5">
        <f>AY77 * (1+Вводные!AZ94)</f>
        <v>3.4606958935318217</v>
      </c>
      <c r="BA77" s="5">
        <f>AZ77 * (1+Вводные!BA94)</f>
        <v>3.5645167703377765</v>
      </c>
      <c r="BB77" s="5">
        <f>BA77 * (1+Вводные!BB94)</f>
        <v>3.67145227344791</v>
      </c>
      <c r="BC77" s="5">
        <f>BB77 * (1+Вводные!BC94)</f>
        <v>3.7815958416513475</v>
      </c>
      <c r="BD77" s="5">
        <f>BC77 * (1+Вводные!BD94)</f>
        <v>3.8950437169008882</v>
      </c>
      <c r="BE77" s="5">
        <f>BD77 * (1+Вводные!BE94)</f>
        <v>4.0118950284079151</v>
      </c>
      <c r="BF77" s="5">
        <f>BE77 * (1+Вводные!BF94)</f>
        <v>4.1322518792601528</v>
      </c>
      <c r="BG77" s="5">
        <f>BF77 * (1+Вводные!BG94)</f>
        <v>4.2562194356379575</v>
      </c>
      <c r="BH77" s="5">
        <f>BG77 * (1+Вводные!BH94)</f>
        <v>4.383906018707096</v>
      </c>
      <c r="BI77" s="5">
        <f>BH77 * (1+Вводные!BI94)</f>
        <v>4.5154231992683087</v>
      </c>
      <c r="BJ77" s="5">
        <f>BI77 * (1+Вводные!BJ94)</f>
        <v>4.6508858952463576</v>
      </c>
    </row>
    <row r="78" spans="4:62" x14ac:dyDescent="0.15">
      <c r="D78" s="9" t="str">
        <f>Вводные!$D$95</f>
        <v>Темп роста Ипотека</v>
      </c>
      <c r="E78" s="12" t="s">
        <v>4</v>
      </c>
      <c r="I78" s="23">
        <v>1</v>
      </c>
      <c r="J78" s="5">
        <f>I78 * (1+Вводные!J95)</f>
        <v>1</v>
      </c>
      <c r="K78" s="5">
        <f>J78 * (1+Вводные!K95)</f>
        <v>1</v>
      </c>
      <c r="L78" s="5">
        <f>K78 * (1+Вводные!L95)</f>
        <v>1</v>
      </c>
      <c r="M78" s="5">
        <f>L78 * (1+Вводные!M95)</f>
        <v>1</v>
      </c>
      <c r="N78" s="5">
        <f>M78 * (1+Вводные!N95)</f>
        <v>1</v>
      </c>
      <c r="O78" s="5">
        <f>N78 * (1+Вводные!O95)</f>
        <v>1</v>
      </c>
      <c r="P78" s="5">
        <f>O78 * (1+Вводные!P95)</f>
        <v>1</v>
      </c>
      <c r="Q78" s="5">
        <f>P78 * (1+Вводные!Q95)</f>
        <v>1</v>
      </c>
      <c r="R78" s="5">
        <f>Q78 * (1+Вводные!R95)</f>
        <v>1</v>
      </c>
      <c r="S78" s="5">
        <f>R78 * (1+Вводные!S95)</f>
        <v>1</v>
      </c>
      <c r="T78" s="5">
        <f>S78 * (1+Вводные!T95)</f>
        <v>1</v>
      </c>
      <c r="U78" s="5">
        <f>T78 * (1+Вводные!U95)</f>
        <v>1</v>
      </c>
      <c r="V78" s="5">
        <f>U78 * (1+Вводные!V95)</f>
        <v>1</v>
      </c>
      <c r="W78" s="5">
        <f>V78 * (1+Вводные!W95)</f>
        <v>1</v>
      </c>
      <c r="X78" s="5">
        <f>W78 * (1+Вводные!X95)</f>
        <v>1</v>
      </c>
      <c r="Y78" s="5">
        <f>X78 * (1+Вводные!Y95)</f>
        <v>1</v>
      </c>
      <c r="Z78" s="5">
        <f>Y78 * (1+Вводные!Z95)</f>
        <v>1</v>
      </c>
      <c r="AA78" s="5">
        <f>Z78 * (1+Вводные!AA95)</f>
        <v>1</v>
      </c>
      <c r="AB78" s="5">
        <f>AA78 * (1+Вводные!AB95)</f>
        <v>1</v>
      </c>
      <c r="AC78" s="5">
        <f>AB78 * (1+Вводные!AC95)</f>
        <v>1</v>
      </c>
      <c r="AD78" s="5">
        <f>AC78 * (1+Вводные!AD95)</f>
        <v>1</v>
      </c>
      <c r="AE78" s="5">
        <f>AD78 * (1+Вводные!AE95)</f>
        <v>1</v>
      </c>
      <c r="AF78" s="5">
        <f>AE78 * (1+Вводные!AF95)</f>
        <v>1</v>
      </c>
      <c r="AG78" s="5">
        <f>AF78 * (1+Вводные!AG95)</f>
        <v>1</v>
      </c>
      <c r="AH78" s="5">
        <f>AG78 * (1+Вводные!AH95)</f>
        <v>1</v>
      </c>
      <c r="AI78" s="5">
        <f>AH78 * (1+Вводные!AI95)</f>
        <v>1</v>
      </c>
      <c r="AJ78" s="5">
        <f>AI78 * (1+Вводные!AJ95)</f>
        <v>1</v>
      </c>
      <c r="AK78" s="5">
        <f>AJ78 * (1+Вводные!AK95)</f>
        <v>1</v>
      </c>
      <c r="AL78" s="5">
        <f>AK78 * (1+Вводные!AL95)</f>
        <v>1</v>
      </c>
      <c r="AM78" s="5">
        <f>AL78 * (1+Вводные!AM95)</f>
        <v>1</v>
      </c>
      <c r="AN78" s="5">
        <f>AM78 * (1+Вводные!AN95)</f>
        <v>1</v>
      </c>
      <c r="AO78" s="5">
        <f>AN78 * (1+Вводные!AO95)</f>
        <v>1</v>
      </c>
      <c r="AP78" s="5">
        <f>AO78 * (1+Вводные!AP95)</f>
        <v>1</v>
      </c>
      <c r="AQ78" s="5">
        <f>AP78 * (1+Вводные!AQ95)</f>
        <v>1</v>
      </c>
      <c r="AR78" s="5">
        <f>AQ78 * (1+Вводные!AR95)</f>
        <v>1</v>
      </c>
      <c r="AS78" s="5">
        <f>AR78 * (1+Вводные!AS95)</f>
        <v>1</v>
      </c>
      <c r="AT78" s="5">
        <f>AS78 * (1+Вводные!AT95)</f>
        <v>1</v>
      </c>
      <c r="AU78" s="5">
        <f>AT78 * (1+Вводные!AU95)</f>
        <v>1</v>
      </c>
      <c r="AV78" s="5">
        <f>AU78 * (1+Вводные!AV95)</f>
        <v>1</v>
      </c>
      <c r="AW78" s="5">
        <f>AV78 * (1+Вводные!AW95)</f>
        <v>1</v>
      </c>
      <c r="AX78" s="5">
        <f>AW78 * (1+Вводные!AX95)</f>
        <v>1</v>
      </c>
      <c r="AY78" s="5">
        <f>AX78 * (1+Вводные!AY95)</f>
        <v>1</v>
      </c>
      <c r="AZ78" s="5">
        <f>AY78 * (1+Вводные!AZ95)</f>
        <v>1</v>
      </c>
      <c r="BA78" s="5">
        <f>AZ78 * (1+Вводные!BA95)</f>
        <v>1</v>
      </c>
      <c r="BB78" s="5">
        <f>BA78 * (1+Вводные!BB95)</f>
        <v>1</v>
      </c>
      <c r="BC78" s="5">
        <f>BB78 * (1+Вводные!BC95)</f>
        <v>1</v>
      </c>
      <c r="BD78" s="5">
        <f>BC78 * (1+Вводные!BD95)</f>
        <v>1</v>
      </c>
      <c r="BE78" s="5">
        <f>BD78 * (1+Вводные!BE95)</f>
        <v>1</v>
      </c>
      <c r="BF78" s="5">
        <f>BE78 * (1+Вводные!BF95)</f>
        <v>1</v>
      </c>
      <c r="BG78" s="5">
        <f>BF78 * (1+Вводные!BG95)</f>
        <v>1</v>
      </c>
      <c r="BH78" s="5">
        <f>BG78 * (1+Вводные!BH95)</f>
        <v>1</v>
      </c>
      <c r="BI78" s="5">
        <f>BH78 * (1+Вводные!BI95)</f>
        <v>1</v>
      </c>
      <c r="BJ78" s="5">
        <f>BI78 * (1+Вводные!BJ95)</f>
        <v>1</v>
      </c>
    </row>
    <row r="79" spans="4:62" x14ac:dyDescent="0.15">
      <c r="D79" s="9" t="str">
        <f>Вводные!$D$96</f>
        <v>Темп роста Аренда квартиры + коммуналка</v>
      </c>
      <c r="E79" s="12" t="s">
        <v>4</v>
      </c>
      <c r="I79" s="23">
        <v>1</v>
      </c>
      <c r="J79" s="5">
        <f>I79 * (1+Вводные!J96)</f>
        <v>1</v>
      </c>
      <c r="K79" s="5">
        <f>J79 * (1+Вводные!K96)</f>
        <v>1.03</v>
      </c>
      <c r="L79" s="5">
        <f>K79 * (1+Вводные!L96)</f>
        <v>1.0609</v>
      </c>
      <c r="M79" s="5">
        <f>L79 * (1+Вводные!M96)</f>
        <v>1.092727</v>
      </c>
      <c r="N79" s="5">
        <f>M79 * (1+Вводные!N96)</f>
        <v>1.1255088100000001</v>
      </c>
      <c r="O79" s="5">
        <f>N79 * (1+Вводные!O96)</f>
        <v>1.1592740743000001</v>
      </c>
      <c r="P79" s="5">
        <f>O79 * (1+Вводные!P96)</f>
        <v>1.1940522965290001</v>
      </c>
      <c r="Q79" s="5">
        <f>P79 * (1+Вводные!Q96)</f>
        <v>1.2298738654248702</v>
      </c>
      <c r="R79" s="5">
        <f>Q79 * (1+Вводные!R96)</f>
        <v>1.2667700813876164</v>
      </c>
      <c r="S79" s="5">
        <f>R79 * (1+Вводные!S96)</f>
        <v>1.3047731838292449</v>
      </c>
      <c r="T79" s="5">
        <f>S79 * (1+Вводные!T96)</f>
        <v>1.3439163793441222</v>
      </c>
      <c r="U79" s="5">
        <f>T79 * (1+Вводные!U96)</f>
        <v>1.3842338707244459</v>
      </c>
      <c r="V79" s="5">
        <f>U79 * (1+Вводные!V96)</f>
        <v>1.4257608868461793</v>
      </c>
      <c r="W79" s="5">
        <f>V79 * (1+Вводные!W96)</f>
        <v>1.4685337134515648</v>
      </c>
      <c r="X79" s="5">
        <f>W79 * (1+Вводные!X96)</f>
        <v>1.5125897248551119</v>
      </c>
      <c r="Y79" s="5">
        <f>X79 * (1+Вводные!Y96)</f>
        <v>1.5579674166007653</v>
      </c>
      <c r="Z79" s="5">
        <f>Y79 * (1+Вводные!Z96)</f>
        <v>1.6047064390987884</v>
      </c>
      <c r="AA79" s="5">
        <f>Z79 * (1+Вводные!AA96)</f>
        <v>1.652847632271752</v>
      </c>
      <c r="AB79" s="5">
        <f>AA79 * (1+Вводные!AB96)</f>
        <v>1.7024330612399046</v>
      </c>
      <c r="AC79" s="5">
        <f>AB79 * (1+Вводные!AC96)</f>
        <v>1.7535060530771018</v>
      </c>
      <c r="AD79" s="5">
        <f>AC79 * (1+Вводные!AD96)</f>
        <v>1.806111234669415</v>
      </c>
      <c r="AE79" s="5">
        <f>AD79 * (1+Вводные!AE96)</f>
        <v>1.8602945717094976</v>
      </c>
      <c r="AF79" s="5">
        <f>AE79 * (1+Вводные!AF96)</f>
        <v>1.9161034088607827</v>
      </c>
      <c r="AG79" s="5">
        <f>AF79 * (1+Вводные!AG96)</f>
        <v>1.9735865111266062</v>
      </c>
      <c r="AH79" s="5">
        <f>AG79 * (1+Вводные!AH96)</f>
        <v>2.0327941064604045</v>
      </c>
      <c r="AI79" s="5">
        <f>AH79 * (1+Вводные!AI96)</f>
        <v>2.0937779296542165</v>
      </c>
      <c r="AJ79" s="5">
        <f>AI79 * (1+Вводные!AJ96)</f>
        <v>2.1565912675438432</v>
      </c>
      <c r="AK79" s="5">
        <f>AJ79 * (1+Вводные!AK96)</f>
        <v>2.2212890055701586</v>
      </c>
      <c r="AL79" s="5">
        <f>AK79 * (1+Вводные!AL96)</f>
        <v>2.2879276757372633</v>
      </c>
      <c r="AM79" s="5">
        <f>AL79 * (1+Вводные!AM96)</f>
        <v>2.3565655060093813</v>
      </c>
      <c r="AN79" s="5">
        <f>AM79 * (1+Вводные!AN96)</f>
        <v>2.4272624711896627</v>
      </c>
      <c r="AO79" s="5">
        <f>AN79 * (1+Вводные!AO96)</f>
        <v>2.5000803453253524</v>
      </c>
      <c r="AP79" s="5">
        <f>AO79 * (1+Вводные!AP96)</f>
        <v>2.5750827556851132</v>
      </c>
      <c r="AQ79" s="5">
        <f>AP79 * (1+Вводные!AQ96)</f>
        <v>2.6523352383556666</v>
      </c>
      <c r="AR79" s="5">
        <f>AQ79 * (1+Вводные!AR96)</f>
        <v>2.7319052955063365</v>
      </c>
      <c r="AS79" s="5">
        <f>AR79 * (1+Вводные!AS96)</f>
        <v>2.8138624543715265</v>
      </c>
      <c r="AT79" s="5">
        <f>AS79 * (1+Вводные!AT96)</f>
        <v>2.8982783280026725</v>
      </c>
      <c r="AU79" s="5">
        <f>AT79 * (1+Вводные!AU96)</f>
        <v>2.9852266778427525</v>
      </c>
      <c r="AV79" s="5">
        <f>AU79 * (1+Вводные!AV96)</f>
        <v>3.074783478178035</v>
      </c>
      <c r="AW79" s="5">
        <f>AV79 * (1+Вводные!AW96)</f>
        <v>3.1670269825233763</v>
      </c>
      <c r="AX79" s="5">
        <f>AW79 * (1+Вводные!AX96)</f>
        <v>3.2620377919990777</v>
      </c>
      <c r="AY79" s="5">
        <f>AX79 * (1+Вводные!AY96)</f>
        <v>3.3598989257590501</v>
      </c>
      <c r="AZ79" s="5">
        <f>AY79 * (1+Вводные!AZ96)</f>
        <v>3.4606958935318217</v>
      </c>
      <c r="BA79" s="5">
        <f>AZ79 * (1+Вводные!BA96)</f>
        <v>3.5645167703377765</v>
      </c>
      <c r="BB79" s="5">
        <f>BA79 * (1+Вводные!BB96)</f>
        <v>3.67145227344791</v>
      </c>
      <c r="BC79" s="5">
        <f>BB79 * (1+Вводные!BC96)</f>
        <v>3.7815958416513475</v>
      </c>
      <c r="BD79" s="5">
        <f>BC79 * (1+Вводные!BD96)</f>
        <v>3.8950437169008882</v>
      </c>
      <c r="BE79" s="5">
        <f>BD79 * (1+Вводные!BE96)</f>
        <v>4.0118950284079151</v>
      </c>
      <c r="BF79" s="5">
        <f>BE79 * (1+Вводные!BF96)</f>
        <v>4.1322518792601528</v>
      </c>
      <c r="BG79" s="5">
        <f>BF79 * (1+Вводные!BG96)</f>
        <v>4.2562194356379575</v>
      </c>
      <c r="BH79" s="5">
        <f>BG79 * (1+Вводные!BH96)</f>
        <v>4.383906018707096</v>
      </c>
      <c r="BI79" s="5">
        <f>BH79 * (1+Вводные!BI96)</f>
        <v>4.5154231992683087</v>
      </c>
      <c r="BJ79" s="5">
        <f>BI79 * (1+Вводные!BJ96)</f>
        <v>4.6508858952463576</v>
      </c>
    </row>
    <row r="80" spans="4:62" x14ac:dyDescent="0.15">
      <c r="D80" s="9" t="str">
        <f>Вводные!$D$97</f>
        <v>Темп роста Связь + интернет</v>
      </c>
      <c r="E80" s="12" t="s">
        <v>4</v>
      </c>
      <c r="I80" s="23">
        <v>1</v>
      </c>
      <c r="J80" s="5">
        <f>I80 * (1+Вводные!J97)</f>
        <v>1</v>
      </c>
      <c r="K80" s="5">
        <f>J80 * (1+Вводные!K97)</f>
        <v>1.03</v>
      </c>
      <c r="L80" s="5">
        <f>K80 * (1+Вводные!L97)</f>
        <v>1.0609</v>
      </c>
      <c r="M80" s="5">
        <f>L80 * (1+Вводные!M97)</f>
        <v>1.092727</v>
      </c>
      <c r="N80" s="5">
        <f>M80 * (1+Вводные!N97)</f>
        <v>1.1255088100000001</v>
      </c>
      <c r="O80" s="5">
        <f>N80 * (1+Вводные!O97)</f>
        <v>1.1592740743000001</v>
      </c>
      <c r="P80" s="5">
        <f>O80 * (1+Вводные!P97)</f>
        <v>1.1940522965290001</v>
      </c>
      <c r="Q80" s="5">
        <f>P80 * (1+Вводные!Q97)</f>
        <v>1.2298738654248702</v>
      </c>
      <c r="R80" s="5">
        <f>Q80 * (1+Вводные!R97)</f>
        <v>1.2667700813876164</v>
      </c>
      <c r="S80" s="5">
        <f>R80 * (1+Вводные!S97)</f>
        <v>1.3047731838292449</v>
      </c>
      <c r="T80" s="5">
        <f>S80 * (1+Вводные!T97)</f>
        <v>1.3439163793441222</v>
      </c>
      <c r="U80" s="5">
        <f>T80 * (1+Вводные!U97)</f>
        <v>1.3842338707244459</v>
      </c>
      <c r="V80" s="5">
        <f>U80 * (1+Вводные!V97)</f>
        <v>1.4257608868461793</v>
      </c>
      <c r="W80" s="5">
        <f>V80 * (1+Вводные!W97)</f>
        <v>1.4685337134515648</v>
      </c>
      <c r="X80" s="5">
        <f>W80 * (1+Вводные!X97)</f>
        <v>1.5125897248551119</v>
      </c>
      <c r="Y80" s="5">
        <f>X80 * (1+Вводные!Y97)</f>
        <v>1.5579674166007653</v>
      </c>
      <c r="Z80" s="5">
        <f>Y80 * (1+Вводные!Z97)</f>
        <v>1.6047064390987884</v>
      </c>
      <c r="AA80" s="5">
        <f>Z80 * (1+Вводные!AA97)</f>
        <v>1.652847632271752</v>
      </c>
      <c r="AB80" s="5">
        <f>AA80 * (1+Вводные!AB97)</f>
        <v>1.7024330612399046</v>
      </c>
      <c r="AC80" s="5">
        <f>AB80 * (1+Вводные!AC97)</f>
        <v>1.7535060530771018</v>
      </c>
      <c r="AD80" s="5">
        <f>AC80 * (1+Вводные!AD97)</f>
        <v>1.806111234669415</v>
      </c>
      <c r="AE80" s="5">
        <f>AD80 * (1+Вводные!AE97)</f>
        <v>1.8602945717094976</v>
      </c>
      <c r="AF80" s="5">
        <f>AE80 * (1+Вводные!AF97)</f>
        <v>1.9161034088607827</v>
      </c>
      <c r="AG80" s="5">
        <f>AF80 * (1+Вводные!AG97)</f>
        <v>1.9735865111266062</v>
      </c>
      <c r="AH80" s="5">
        <f>AG80 * (1+Вводные!AH97)</f>
        <v>2.0327941064604045</v>
      </c>
      <c r="AI80" s="5">
        <f>AH80 * (1+Вводные!AI97)</f>
        <v>2.0937779296542165</v>
      </c>
      <c r="AJ80" s="5">
        <f>AI80 * (1+Вводные!AJ97)</f>
        <v>2.1565912675438432</v>
      </c>
      <c r="AK80" s="5">
        <f>AJ80 * (1+Вводные!AK97)</f>
        <v>2.2212890055701586</v>
      </c>
      <c r="AL80" s="5">
        <f>AK80 * (1+Вводные!AL97)</f>
        <v>2.2879276757372633</v>
      </c>
      <c r="AM80" s="5">
        <f>AL80 * (1+Вводные!AM97)</f>
        <v>2.3565655060093813</v>
      </c>
      <c r="AN80" s="5">
        <f>AM80 * (1+Вводные!AN97)</f>
        <v>2.4272624711896627</v>
      </c>
      <c r="AO80" s="5">
        <f>AN80 * (1+Вводные!AO97)</f>
        <v>2.5000803453253524</v>
      </c>
      <c r="AP80" s="5">
        <f>AO80 * (1+Вводные!AP97)</f>
        <v>2.5750827556851132</v>
      </c>
      <c r="AQ80" s="5">
        <f>AP80 * (1+Вводные!AQ97)</f>
        <v>2.6523352383556666</v>
      </c>
      <c r="AR80" s="5">
        <f>AQ80 * (1+Вводные!AR97)</f>
        <v>2.7319052955063365</v>
      </c>
      <c r="AS80" s="5">
        <f>AR80 * (1+Вводные!AS97)</f>
        <v>2.8138624543715265</v>
      </c>
      <c r="AT80" s="5">
        <f>AS80 * (1+Вводные!AT97)</f>
        <v>2.8982783280026725</v>
      </c>
      <c r="AU80" s="5">
        <f>AT80 * (1+Вводные!AU97)</f>
        <v>2.9852266778427525</v>
      </c>
      <c r="AV80" s="5">
        <f>AU80 * (1+Вводные!AV97)</f>
        <v>3.074783478178035</v>
      </c>
      <c r="AW80" s="5">
        <f>AV80 * (1+Вводные!AW97)</f>
        <v>3.1670269825233763</v>
      </c>
      <c r="AX80" s="5">
        <f>AW80 * (1+Вводные!AX97)</f>
        <v>3.2620377919990777</v>
      </c>
      <c r="AY80" s="5">
        <f>AX80 * (1+Вводные!AY97)</f>
        <v>3.3598989257590501</v>
      </c>
      <c r="AZ80" s="5">
        <f>AY80 * (1+Вводные!AZ97)</f>
        <v>3.4606958935318217</v>
      </c>
      <c r="BA80" s="5">
        <f>AZ80 * (1+Вводные!BA97)</f>
        <v>3.5645167703377765</v>
      </c>
      <c r="BB80" s="5">
        <f>BA80 * (1+Вводные!BB97)</f>
        <v>3.67145227344791</v>
      </c>
      <c r="BC80" s="5">
        <f>BB80 * (1+Вводные!BC97)</f>
        <v>3.7815958416513475</v>
      </c>
      <c r="BD80" s="5">
        <f>BC80 * (1+Вводные!BD97)</f>
        <v>3.8950437169008882</v>
      </c>
      <c r="BE80" s="5">
        <f>BD80 * (1+Вводные!BE97)</f>
        <v>4.0118950284079151</v>
      </c>
      <c r="BF80" s="5">
        <f>BE80 * (1+Вводные!BF97)</f>
        <v>4.1322518792601528</v>
      </c>
      <c r="BG80" s="5">
        <f>BF80 * (1+Вводные!BG97)</f>
        <v>4.2562194356379575</v>
      </c>
      <c r="BH80" s="5">
        <f>BG80 * (1+Вводные!BH97)</f>
        <v>4.383906018707096</v>
      </c>
      <c r="BI80" s="5">
        <f>BH80 * (1+Вводные!BI97)</f>
        <v>4.5154231992683087</v>
      </c>
      <c r="BJ80" s="5">
        <f>BI80 * (1+Вводные!BJ97)</f>
        <v>4.6508858952463576</v>
      </c>
    </row>
    <row r="81" spans="3:62" x14ac:dyDescent="0.15">
      <c r="D81" s="9" t="str">
        <f>Вводные!$D$98</f>
        <v>Темп роста Командировки</v>
      </c>
      <c r="E81" s="12" t="s">
        <v>4</v>
      </c>
      <c r="I81" s="23">
        <v>1</v>
      </c>
      <c r="J81" s="5">
        <f>I81 * (1+Вводные!J98)</f>
        <v>1</v>
      </c>
      <c r="K81" s="5">
        <f>J81 * (1+Вводные!K98)</f>
        <v>1.03</v>
      </c>
      <c r="L81" s="5">
        <f>K81 * (1+Вводные!L98)</f>
        <v>1.0609</v>
      </c>
      <c r="M81" s="5">
        <f>L81 * (1+Вводные!M98)</f>
        <v>1.092727</v>
      </c>
      <c r="N81" s="5">
        <f>M81 * (1+Вводные!N98)</f>
        <v>1.1255088100000001</v>
      </c>
      <c r="O81" s="5">
        <f>N81 * (1+Вводные!O98)</f>
        <v>1.1592740743000001</v>
      </c>
      <c r="P81" s="5">
        <f>O81 * (1+Вводные!P98)</f>
        <v>1.1940522965290001</v>
      </c>
      <c r="Q81" s="5">
        <f>P81 * (1+Вводные!Q98)</f>
        <v>1.2298738654248702</v>
      </c>
      <c r="R81" s="5">
        <f>Q81 * (1+Вводные!R98)</f>
        <v>1.2667700813876164</v>
      </c>
      <c r="S81" s="5">
        <f>R81 * (1+Вводные!S98)</f>
        <v>1.3047731838292449</v>
      </c>
      <c r="T81" s="5">
        <f>S81 * (1+Вводные!T98)</f>
        <v>1.3439163793441222</v>
      </c>
      <c r="U81" s="5">
        <f>T81 * (1+Вводные!U98)</f>
        <v>1.3842338707244459</v>
      </c>
      <c r="V81" s="5">
        <f>U81 * (1+Вводные!V98)</f>
        <v>1.4257608868461793</v>
      </c>
      <c r="W81" s="5">
        <f>V81 * (1+Вводные!W98)</f>
        <v>1.4685337134515648</v>
      </c>
      <c r="X81" s="5">
        <f>W81 * (1+Вводные!X98)</f>
        <v>1.5125897248551119</v>
      </c>
      <c r="Y81" s="5">
        <f>X81 * (1+Вводные!Y98)</f>
        <v>1.5579674166007653</v>
      </c>
      <c r="Z81" s="5">
        <f>Y81 * (1+Вводные!Z98)</f>
        <v>1.6047064390987884</v>
      </c>
      <c r="AA81" s="5">
        <f>Z81 * (1+Вводные!AA98)</f>
        <v>1.652847632271752</v>
      </c>
      <c r="AB81" s="5">
        <f>AA81 * (1+Вводные!AB98)</f>
        <v>1.7024330612399046</v>
      </c>
      <c r="AC81" s="5">
        <f>AB81 * (1+Вводные!AC98)</f>
        <v>1.7535060530771018</v>
      </c>
      <c r="AD81" s="5">
        <f>AC81 * (1+Вводные!AD98)</f>
        <v>1.806111234669415</v>
      </c>
      <c r="AE81" s="5">
        <f>AD81 * (1+Вводные!AE98)</f>
        <v>1.8602945717094976</v>
      </c>
      <c r="AF81" s="5">
        <f>AE81 * (1+Вводные!AF98)</f>
        <v>1.9161034088607827</v>
      </c>
      <c r="AG81" s="5">
        <f>AF81 * (1+Вводные!AG98)</f>
        <v>1.9735865111266062</v>
      </c>
      <c r="AH81" s="5">
        <f>AG81 * (1+Вводные!AH98)</f>
        <v>2.0327941064604045</v>
      </c>
      <c r="AI81" s="5">
        <f>AH81 * (1+Вводные!AI98)</f>
        <v>2.0937779296542165</v>
      </c>
      <c r="AJ81" s="5">
        <f>AI81 * (1+Вводные!AJ98)</f>
        <v>2.1565912675438432</v>
      </c>
      <c r="AK81" s="5">
        <f>AJ81 * (1+Вводные!AK98)</f>
        <v>2.2212890055701586</v>
      </c>
      <c r="AL81" s="5">
        <f>AK81 * (1+Вводные!AL98)</f>
        <v>2.2879276757372633</v>
      </c>
      <c r="AM81" s="5">
        <f>AL81 * (1+Вводные!AM98)</f>
        <v>2.3565655060093813</v>
      </c>
      <c r="AN81" s="5">
        <f>AM81 * (1+Вводные!AN98)</f>
        <v>2.4272624711896627</v>
      </c>
      <c r="AO81" s="5">
        <f>AN81 * (1+Вводные!AO98)</f>
        <v>2.5000803453253524</v>
      </c>
      <c r="AP81" s="5">
        <f>AO81 * (1+Вводные!AP98)</f>
        <v>2.5750827556851132</v>
      </c>
      <c r="AQ81" s="5">
        <f>AP81 * (1+Вводные!AQ98)</f>
        <v>2.6523352383556666</v>
      </c>
      <c r="AR81" s="5">
        <f>AQ81 * (1+Вводные!AR98)</f>
        <v>2.7319052955063365</v>
      </c>
      <c r="AS81" s="5">
        <f>AR81 * (1+Вводные!AS98)</f>
        <v>2.8138624543715265</v>
      </c>
      <c r="AT81" s="5">
        <f>AS81 * (1+Вводные!AT98)</f>
        <v>2.8982783280026725</v>
      </c>
      <c r="AU81" s="5">
        <f>AT81 * (1+Вводные!AU98)</f>
        <v>2.9852266778427525</v>
      </c>
      <c r="AV81" s="5">
        <f>AU81 * (1+Вводные!AV98)</f>
        <v>3.074783478178035</v>
      </c>
      <c r="AW81" s="5">
        <f>AV81 * (1+Вводные!AW98)</f>
        <v>3.1670269825233763</v>
      </c>
      <c r="AX81" s="5">
        <f>AW81 * (1+Вводные!AX98)</f>
        <v>3.2620377919990777</v>
      </c>
      <c r="AY81" s="5">
        <f>AX81 * (1+Вводные!AY98)</f>
        <v>3.3598989257590501</v>
      </c>
      <c r="AZ81" s="5">
        <f>AY81 * (1+Вводные!AZ98)</f>
        <v>3.4606958935318217</v>
      </c>
      <c r="BA81" s="5">
        <f>AZ81 * (1+Вводные!BA98)</f>
        <v>3.5645167703377765</v>
      </c>
      <c r="BB81" s="5">
        <f>BA81 * (1+Вводные!BB98)</f>
        <v>3.67145227344791</v>
      </c>
      <c r="BC81" s="5">
        <f>BB81 * (1+Вводные!BC98)</f>
        <v>3.7815958416513475</v>
      </c>
      <c r="BD81" s="5">
        <f>BC81 * (1+Вводные!BD98)</f>
        <v>3.8950437169008882</v>
      </c>
      <c r="BE81" s="5">
        <f>BD81 * (1+Вводные!BE98)</f>
        <v>4.0118950284079151</v>
      </c>
      <c r="BF81" s="5">
        <f>BE81 * (1+Вводные!BF98)</f>
        <v>4.1322518792601528</v>
      </c>
      <c r="BG81" s="5">
        <f>BF81 * (1+Вводные!BG98)</f>
        <v>4.2562194356379575</v>
      </c>
      <c r="BH81" s="5">
        <f>BG81 * (1+Вводные!BH98)</f>
        <v>4.383906018707096</v>
      </c>
      <c r="BI81" s="5">
        <f>BH81 * (1+Вводные!BI98)</f>
        <v>4.5154231992683087</v>
      </c>
      <c r="BJ81" s="5">
        <f>BI81 * (1+Вводные!BJ98)</f>
        <v>4.6508858952463576</v>
      </c>
    </row>
    <row r="82" spans="3:62" x14ac:dyDescent="0.15">
      <c r="D82" s="9" t="str">
        <f>Вводные!$D$99</f>
        <v>Темп роста Прочее</v>
      </c>
      <c r="E82" s="12" t="s">
        <v>4</v>
      </c>
      <c r="I82" s="23">
        <v>1</v>
      </c>
      <c r="J82" s="5">
        <f>I82 * (1+Вводные!J99)</f>
        <v>1</v>
      </c>
      <c r="K82" s="5">
        <f>J82 * (1+Вводные!K99)</f>
        <v>1.03</v>
      </c>
      <c r="L82" s="5">
        <f>K82 * (1+Вводные!L99)</f>
        <v>1.0609</v>
      </c>
      <c r="M82" s="5">
        <f>L82 * (1+Вводные!M99)</f>
        <v>1.092727</v>
      </c>
      <c r="N82" s="5">
        <f>M82 * (1+Вводные!N99)</f>
        <v>1.1255088100000001</v>
      </c>
      <c r="O82" s="5">
        <f>N82 * (1+Вводные!O99)</f>
        <v>1.1592740743000001</v>
      </c>
      <c r="P82" s="5">
        <f>O82 * (1+Вводные!P99)</f>
        <v>1.1940522965290001</v>
      </c>
      <c r="Q82" s="5">
        <f>P82 * (1+Вводные!Q99)</f>
        <v>1.2298738654248702</v>
      </c>
      <c r="R82" s="5">
        <f>Q82 * (1+Вводные!R99)</f>
        <v>1.2667700813876164</v>
      </c>
      <c r="S82" s="5">
        <f>R82 * (1+Вводные!S99)</f>
        <v>1.3047731838292449</v>
      </c>
      <c r="T82" s="5">
        <f>S82 * (1+Вводные!T99)</f>
        <v>1.3439163793441222</v>
      </c>
      <c r="U82" s="5">
        <f>T82 * (1+Вводные!U99)</f>
        <v>1.3842338707244459</v>
      </c>
      <c r="V82" s="5">
        <f>U82 * (1+Вводные!V99)</f>
        <v>1.4257608868461793</v>
      </c>
      <c r="W82" s="5">
        <f>V82 * (1+Вводные!W99)</f>
        <v>1.4685337134515648</v>
      </c>
      <c r="X82" s="5">
        <f>W82 * (1+Вводные!X99)</f>
        <v>1.5125897248551119</v>
      </c>
      <c r="Y82" s="5">
        <f>X82 * (1+Вводные!Y99)</f>
        <v>1.5579674166007653</v>
      </c>
      <c r="Z82" s="5">
        <f>Y82 * (1+Вводные!Z99)</f>
        <v>1.6047064390987884</v>
      </c>
      <c r="AA82" s="5">
        <f>Z82 * (1+Вводные!AA99)</f>
        <v>1.652847632271752</v>
      </c>
      <c r="AB82" s="5">
        <f>AA82 * (1+Вводные!AB99)</f>
        <v>1.7024330612399046</v>
      </c>
      <c r="AC82" s="5">
        <f>AB82 * (1+Вводные!AC99)</f>
        <v>1.7535060530771018</v>
      </c>
      <c r="AD82" s="5">
        <f>AC82 * (1+Вводные!AD99)</f>
        <v>1.806111234669415</v>
      </c>
      <c r="AE82" s="5">
        <f>AD82 * (1+Вводные!AE99)</f>
        <v>1.8602945717094976</v>
      </c>
      <c r="AF82" s="5">
        <f>AE82 * (1+Вводные!AF99)</f>
        <v>1.9161034088607827</v>
      </c>
      <c r="AG82" s="5">
        <f>AF82 * (1+Вводные!AG99)</f>
        <v>1.9735865111266062</v>
      </c>
      <c r="AH82" s="5">
        <f>AG82 * (1+Вводные!AH99)</f>
        <v>2.0327941064604045</v>
      </c>
      <c r="AI82" s="5">
        <f>AH82 * (1+Вводные!AI99)</f>
        <v>2.0937779296542165</v>
      </c>
      <c r="AJ82" s="5">
        <f>AI82 * (1+Вводные!AJ99)</f>
        <v>2.1565912675438432</v>
      </c>
      <c r="AK82" s="5">
        <f>AJ82 * (1+Вводные!AK99)</f>
        <v>2.2212890055701586</v>
      </c>
      <c r="AL82" s="5">
        <f>AK82 * (1+Вводные!AL99)</f>
        <v>2.2879276757372633</v>
      </c>
      <c r="AM82" s="5">
        <f>AL82 * (1+Вводные!AM99)</f>
        <v>2.3565655060093813</v>
      </c>
      <c r="AN82" s="5">
        <f>AM82 * (1+Вводные!AN99)</f>
        <v>2.4272624711896627</v>
      </c>
      <c r="AO82" s="5">
        <f>AN82 * (1+Вводные!AO99)</f>
        <v>2.5000803453253524</v>
      </c>
      <c r="AP82" s="5">
        <f>AO82 * (1+Вводные!AP99)</f>
        <v>2.5750827556851132</v>
      </c>
      <c r="AQ82" s="5">
        <f>AP82 * (1+Вводные!AQ99)</f>
        <v>2.6523352383556666</v>
      </c>
      <c r="AR82" s="5">
        <f>AQ82 * (1+Вводные!AR99)</f>
        <v>2.7319052955063365</v>
      </c>
      <c r="AS82" s="5">
        <f>AR82 * (1+Вводные!AS99)</f>
        <v>2.8138624543715265</v>
      </c>
      <c r="AT82" s="5">
        <f>AS82 * (1+Вводные!AT99)</f>
        <v>2.8982783280026725</v>
      </c>
      <c r="AU82" s="5">
        <f>AT82 * (1+Вводные!AU99)</f>
        <v>2.9852266778427525</v>
      </c>
      <c r="AV82" s="5">
        <f>AU82 * (1+Вводные!AV99)</f>
        <v>3.074783478178035</v>
      </c>
      <c r="AW82" s="5">
        <f>AV82 * (1+Вводные!AW99)</f>
        <v>3.1670269825233763</v>
      </c>
      <c r="AX82" s="5">
        <f>AW82 * (1+Вводные!AX99)</f>
        <v>3.2620377919990777</v>
      </c>
      <c r="AY82" s="5">
        <f>AX82 * (1+Вводные!AY99)</f>
        <v>3.3598989257590501</v>
      </c>
      <c r="AZ82" s="5">
        <f>AY82 * (1+Вводные!AZ99)</f>
        <v>3.4606958935318217</v>
      </c>
      <c r="BA82" s="5">
        <f>AZ82 * (1+Вводные!BA99)</f>
        <v>3.5645167703377765</v>
      </c>
      <c r="BB82" s="5">
        <f>BA82 * (1+Вводные!BB99)</f>
        <v>3.67145227344791</v>
      </c>
      <c r="BC82" s="5">
        <f>BB82 * (1+Вводные!BC99)</f>
        <v>3.7815958416513475</v>
      </c>
      <c r="BD82" s="5">
        <f>BC82 * (1+Вводные!BD99)</f>
        <v>3.8950437169008882</v>
      </c>
      <c r="BE82" s="5">
        <f>BD82 * (1+Вводные!BE99)</f>
        <v>4.0118950284079151</v>
      </c>
      <c r="BF82" s="5">
        <f>BE82 * (1+Вводные!BF99)</f>
        <v>4.1322518792601528</v>
      </c>
      <c r="BG82" s="5">
        <f>BF82 * (1+Вводные!BG99)</f>
        <v>4.2562194356379575</v>
      </c>
      <c r="BH82" s="5">
        <f>BG82 * (1+Вводные!BH99)</f>
        <v>4.383906018707096</v>
      </c>
      <c r="BI82" s="5">
        <f>BH82 * (1+Вводные!BI99)</f>
        <v>4.5154231992683087</v>
      </c>
      <c r="BJ82" s="5">
        <f>BI82 * (1+Вводные!BJ99)</f>
        <v>4.6508858952463576</v>
      </c>
    </row>
    <row r="83" spans="3:62" x14ac:dyDescent="0.15">
      <c r="D83" s="9" t="str">
        <f>Вводные!$D$100</f>
        <v>Темп роста Ежемесячный расход 9</v>
      </c>
      <c r="E83" s="12" t="s">
        <v>4</v>
      </c>
      <c r="I83" s="23">
        <v>1</v>
      </c>
      <c r="J83" s="5">
        <f>I83 * (1+Вводные!J100)</f>
        <v>1</v>
      </c>
      <c r="K83" s="5">
        <f>J83 * (1+Вводные!K100)</f>
        <v>1.03</v>
      </c>
      <c r="L83" s="5">
        <f>K83 * (1+Вводные!L100)</f>
        <v>1.0609</v>
      </c>
      <c r="M83" s="5">
        <f>L83 * (1+Вводные!M100)</f>
        <v>1.092727</v>
      </c>
      <c r="N83" s="5">
        <f>M83 * (1+Вводные!N100)</f>
        <v>1.1255088100000001</v>
      </c>
      <c r="O83" s="5">
        <f>N83 * (1+Вводные!O100)</f>
        <v>1.1592740743000001</v>
      </c>
      <c r="P83" s="5">
        <f>O83 * (1+Вводные!P100)</f>
        <v>1.1940522965290001</v>
      </c>
      <c r="Q83" s="5">
        <f>P83 * (1+Вводные!Q100)</f>
        <v>1.2298738654248702</v>
      </c>
      <c r="R83" s="5">
        <f>Q83 * (1+Вводные!R100)</f>
        <v>1.2667700813876164</v>
      </c>
      <c r="S83" s="5">
        <f>R83 * (1+Вводные!S100)</f>
        <v>1.3047731838292449</v>
      </c>
      <c r="T83" s="5">
        <f>S83 * (1+Вводные!T100)</f>
        <v>1.3439163793441222</v>
      </c>
      <c r="U83" s="5">
        <f>T83 * (1+Вводные!U100)</f>
        <v>1.3842338707244459</v>
      </c>
      <c r="V83" s="5">
        <f>U83 * (1+Вводные!V100)</f>
        <v>1.4257608868461793</v>
      </c>
      <c r="W83" s="5">
        <f>V83 * (1+Вводные!W100)</f>
        <v>1.4685337134515648</v>
      </c>
      <c r="X83" s="5">
        <f>W83 * (1+Вводные!X100)</f>
        <v>1.5125897248551119</v>
      </c>
      <c r="Y83" s="5">
        <f>X83 * (1+Вводные!Y100)</f>
        <v>1.5579674166007653</v>
      </c>
      <c r="Z83" s="5">
        <f>Y83 * (1+Вводные!Z100)</f>
        <v>1.6047064390987884</v>
      </c>
      <c r="AA83" s="5">
        <f>Z83 * (1+Вводные!AA100)</f>
        <v>1.652847632271752</v>
      </c>
      <c r="AB83" s="5">
        <f>AA83 * (1+Вводные!AB100)</f>
        <v>1.7024330612399046</v>
      </c>
      <c r="AC83" s="5">
        <f>AB83 * (1+Вводные!AC100)</f>
        <v>1.7535060530771018</v>
      </c>
      <c r="AD83" s="5">
        <f>AC83 * (1+Вводные!AD100)</f>
        <v>1.806111234669415</v>
      </c>
      <c r="AE83" s="5">
        <f>AD83 * (1+Вводные!AE100)</f>
        <v>1.8602945717094976</v>
      </c>
      <c r="AF83" s="5">
        <f>AE83 * (1+Вводные!AF100)</f>
        <v>1.9161034088607827</v>
      </c>
      <c r="AG83" s="5">
        <f>AF83 * (1+Вводные!AG100)</f>
        <v>1.9735865111266062</v>
      </c>
      <c r="AH83" s="5">
        <f>AG83 * (1+Вводные!AH100)</f>
        <v>2.0327941064604045</v>
      </c>
      <c r="AI83" s="5">
        <f>AH83 * (1+Вводные!AI100)</f>
        <v>2.0937779296542165</v>
      </c>
      <c r="AJ83" s="5">
        <f>AI83 * (1+Вводные!AJ100)</f>
        <v>2.1565912675438432</v>
      </c>
      <c r="AK83" s="5">
        <f>AJ83 * (1+Вводные!AK100)</f>
        <v>2.2212890055701586</v>
      </c>
      <c r="AL83" s="5">
        <f>AK83 * (1+Вводные!AL100)</f>
        <v>2.2879276757372633</v>
      </c>
      <c r="AM83" s="5">
        <f>AL83 * (1+Вводные!AM100)</f>
        <v>2.3565655060093813</v>
      </c>
      <c r="AN83" s="5">
        <f>AM83 * (1+Вводные!AN100)</f>
        <v>2.4272624711896627</v>
      </c>
      <c r="AO83" s="5">
        <f>AN83 * (1+Вводные!AO100)</f>
        <v>2.5000803453253524</v>
      </c>
      <c r="AP83" s="5">
        <f>AO83 * (1+Вводные!AP100)</f>
        <v>2.5750827556851132</v>
      </c>
      <c r="AQ83" s="5">
        <f>AP83 * (1+Вводные!AQ100)</f>
        <v>2.6523352383556666</v>
      </c>
      <c r="AR83" s="5">
        <f>AQ83 * (1+Вводные!AR100)</f>
        <v>2.7319052955063365</v>
      </c>
      <c r="AS83" s="5">
        <f>AR83 * (1+Вводные!AS100)</f>
        <v>2.8138624543715265</v>
      </c>
      <c r="AT83" s="5">
        <f>AS83 * (1+Вводные!AT100)</f>
        <v>2.8982783280026725</v>
      </c>
      <c r="AU83" s="5">
        <f>AT83 * (1+Вводные!AU100)</f>
        <v>2.9852266778427525</v>
      </c>
      <c r="AV83" s="5">
        <f>AU83 * (1+Вводные!AV100)</f>
        <v>3.074783478178035</v>
      </c>
      <c r="AW83" s="5">
        <f>AV83 * (1+Вводные!AW100)</f>
        <v>3.1670269825233763</v>
      </c>
      <c r="AX83" s="5">
        <f>AW83 * (1+Вводные!AX100)</f>
        <v>3.2620377919990777</v>
      </c>
      <c r="AY83" s="5">
        <f>AX83 * (1+Вводные!AY100)</f>
        <v>3.3598989257590501</v>
      </c>
      <c r="AZ83" s="5">
        <f>AY83 * (1+Вводные!AZ100)</f>
        <v>3.4606958935318217</v>
      </c>
      <c r="BA83" s="5">
        <f>AZ83 * (1+Вводные!BA100)</f>
        <v>3.5645167703377765</v>
      </c>
      <c r="BB83" s="5">
        <f>BA83 * (1+Вводные!BB100)</f>
        <v>3.67145227344791</v>
      </c>
      <c r="BC83" s="5">
        <f>BB83 * (1+Вводные!BC100)</f>
        <v>3.7815958416513475</v>
      </c>
      <c r="BD83" s="5">
        <f>BC83 * (1+Вводные!BD100)</f>
        <v>3.8950437169008882</v>
      </c>
      <c r="BE83" s="5">
        <f>BD83 * (1+Вводные!BE100)</f>
        <v>4.0118950284079151</v>
      </c>
      <c r="BF83" s="5">
        <f>BE83 * (1+Вводные!BF100)</f>
        <v>4.1322518792601528</v>
      </c>
      <c r="BG83" s="5">
        <f>BF83 * (1+Вводные!BG100)</f>
        <v>4.2562194356379575</v>
      </c>
      <c r="BH83" s="5">
        <f>BG83 * (1+Вводные!BH100)</f>
        <v>4.383906018707096</v>
      </c>
      <c r="BI83" s="5">
        <f>BH83 * (1+Вводные!BI100)</f>
        <v>4.5154231992683087</v>
      </c>
      <c r="BJ83" s="5">
        <f>BI83 * (1+Вводные!BJ100)</f>
        <v>4.6508858952463576</v>
      </c>
    </row>
    <row r="84" spans="3:62" x14ac:dyDescent="0.15">
      <c r="D84" s="9" t="str">
        <f>Вводные!$D$101</f>
        <v>Темп роста Ежемесячный расход 10</v>
      </c>
      <c r="E84" s="12" t="s">
        <v>4</v>
      </c>
      <c r="I84" s="23">
        <v>1</v>
      </c>
      <c r="J84" s="5">
        <f>I84 * (1+Вводные!J101)</f>
        <v>1</v>
      </c>
      <c r="K84" s="5">
        <f>J84 * (1+Вводные!K101)</f>
        <v>1.03</v>
      </c>
      <c r="L84" s="5">
        <f>K84 * (1+Вводные!L101)</f>
        <v>1.0609</v>
      </c>
      <c r="M84" s="5">
        <f>L84 * (1+Вводные!M101)</f>
        <v>1.092727</v>
      </c>
      <c r="N84" s="5">
        <f>M84 * (1+Вводные!N101)</f>
        <v>1.1255088100000001</v>
      </c>
      <c r="O84" s="5">
        <f>N84 * (1+Вводные!O101)</f>
        <v>1.1592740743000001</v>
      </c>
      <c r="P84" s="5">
        <f>O84 * (1+Вводные!P101)</f>
        <v>1.1940522965290001</v>
      </c>
      <c r="Q84" s="5">
        <f>P84 * (1+Вводные!Q101)</f>
        <v>1.2298738654248702</v>
      </c>
      <c r="R84" s="5">
        <f>Q84 * (1+Вводные!R101)</f>
        <v>1.2667700813876164</v>
      </c>
      <c r="S84" s="5">
        <f>R84 * (1+Вводные!S101)</f>
        <v>1.3047731838292449</v>
      </c>
      <c r="T84" s="5">
        <f>S84 * (1+Вводные!T101)</f>
        <v>1.3439163793441222</v>
      </c>
      <c r="U84" s="5">
        <f>T84 * (1+Вводные!U101)</f>
        <v>1.3842338707244459</v>
      </c>
      <c r="V84" s="5">
        <f>U84 * (1+Вводные!V101)</f>
        <v>1.4257608868461793</v>
      </c>
      <c r="W84" s="5">
        <f>V84 * (1+Вводные!W101)</f>
        <v>1.4685337134515648</v>
      </c>
      <c r="X84" s="5">
        <f>W84 * (1+Вводные!X101)</f>
        <v>1.5125897248551119</v>
      </c>
      <c r="Y84" s="5">
        <f>X84 * (1+Вводные!Y101)</f>
        <v>1.5579674166007653</v>
      </c>
      <c r="Z84" s="5">
        <f>Y84 * (1+Вводные!Z101)</f>
        <v>1.6047064390987884</v>
      </c>
      <c r="AA84" s="5">
        <f>Z84 * (1+Вводные!AA101)</f>
        <v>1.652847632271752</v>
      </c>
      <c r="AB84" s="5">
        <f>AA84 * (1+Вводные!AB101)</f>
        <v>1.7024330612399046</v>
      </c>
      <c r="AC84" s="5">
        <f>AB84 * (1+Вводные!AC101)</f>
        <v>1.7535060530771018</v>
      </c>
      <c r="AD84" s="5">
        <f>AC84 * (1+Вводные!AD101)</f>
        <v>1.806111234669415</v>
      </c>
      <c r="AE84" s="5">
        <f>AD84 * (1+Вводные!AE101)</f>
        <v>1.8602945717094976</v>
      </c>
      <c r="AF84" s="5">
        <f>AE84 * (1+Вводные!AF101)</f>
        <v>1.9161034088607827</v>
      </c>
      <c r="AG84" s="5">
        <f>AF84 * (1+Вводные!AG101)</f>
        <v>1.9735865111266062</v>
      </c>
      <c r="AH84" s="5">
        <f>AG84 * (1+Вводные!AH101)</f>
        <v>2.0327941064604045</v>
      </c>
      <c r="AI84" s="5">
        <f>AH84 * (1+Вводные!AI101)</f>
        <v>2.0937779296542165</v>
      </c>
      <c r="AJ84" s="5">
        <f>AI84 * (1+Вводные!AJ101)</f>
        <v>2.1565912675438432</v>
      </c>
      <c r="AK84" s="5">
        <f>AJ84 * (1+Вводные!AK101)</f>
        <v>2.2212890055701586</v>
      </c>
      <c r="AL84" s="5">
        <f>AK84 * (1+Вводные!AL101)</f>
        <v>2.2879276757372633</v>
      </c>
      <c r="AM84" s="5">
        <f>AL84 * (1+Вводные!AM101)</f>
        <v>2.3565655060093813</v>
      </c>
      <c r="AN84" s="5">
        <f>AM84 * (1+Вводные!AN101)</f>
        <v>2.4272624711896627</v>
      </c>
      <c r="AO84" s="5">
        <f>AN84 * (1+Вводные!AO101)</f>
        <v>2.5000803453253524</v>
      </c>
      <c r="AP84" s="5">
        <f>AO84 * (1+Вводные!AP101)</f>
        <v>2.5750827556851132</v>
      </c>
      <c r="AQ84" s="5">
        <f>AP84 * (1+Вводные!AQ101)</f>
        <v>2.6523352383556666</v>
      </c>
      <c r="AR84" s="5">
        <f>AQ84 * (1+Вводные!AR101)</f>
        <v>2.7319052955063365</v>
      </c>
      <c r="AS84" s="5">
        <f>AR84 * (1+Вводные!AS101)</f>
        <v>2.8138624543715265</v>
      </c>
      <c r="AT84" s="5">
        <f>AS84 * (1+Вводные!AT101)</f>
        <v>2.8982783280026725</v>
      </c>
      <c r="AU84" s="5">
        <f>AT84 * (1+Вводные!AU101)</f>
        <v>2.9852266778427525</v>
      </c>
      <c r="AV84" s="5">
        <f>AU84 * (1+Вводные!AV101)</f>
        <v>3.074783478178035</v>
      </c>
      <c r="AW84" s="5">
        <f>AV84 * (1+Вводные!AW101)</f>
        <v>3.1670269825233763</v>
      </c>
      <c r="AX84" s="5">
        <f>AW84 * (1+Вводные!AX101)</f>
        <v>3.2620377919990777</v>
      </c>
      <c r="AY84" s="5">
        <f>AX84 * (1+Вводные!AY101)</f>
        <v>3.3598989257590501</v>
      </c>
      <c r="AZ84" s="5">
        <f>AY84 * (1+Вводные!AZ101)</f>
        <v>3.4606958935318217</v>
      </c>
      <c r="BA84" s="5">
        <f>AZ84 * (1+Вводные!BA101)</f>
        <v>3.5645167703377765</v>
      </c>
      <c r="BB84" s="5">
        <f>BA84 * (1+Вводные!BB101)</f>
        <v>3.67145227344791</v>
      </c>
      <c r="BC84" s="5">
        <f>BB84 * (1+Вводные!BC101)</f>
        <v>3.7815958416513475</v>
      </c>
      <c r="BD84" s="5">
        <f>BC84 * (1+Вводные!BD101)</f>
        <v>3.8950437169008882</v>
      </c>
      <c r="BE84" s="5">
        <f>BD84 * (1+Вводные!BE101)</f>
        <v>4.0118950284079151</v>
      </c>
      <c r="BF84" s="5">
        <f>BE84 * (1+Вводные!BF101)</f>
        <v>4.1322518792601528</v>
      </c>
      <c r="BG84" s="5">
        <f>BF84 * (1+Вводные!BG101)</f>
        <v>4.2562194356379575</v>
      </c>
      <c r="BH84" s="5">
        <f>BG84 * (1+Вводные!BH101)</f>
        <v>4.383906018707096</v>
      </c>
      <c r="BI84" s="5">
        <f>BH84 * (1+Вводные!BI101)</f>
        <v>4.5154231992683087</v>
      </c>
      <c r="BJ84" s="5">
        <f>BI84 * (1+Вводные!BJ101)</f>
        <v>4.6508858952463576</v>
      </c>
    </row>
    <row r="85" spans="3:62" x14ac:dyDescent="0.15">
      <c r="D85" s="9" t="str">
        <f>Вводные!$D$102</f>
        <v>Темп роста Ежемесячный расход 11</v>
      </c>
      <c r="E85" s="12" t="s">
        <v>4</v>
      </c>
      <c r="I85" s="23">
        <v>1</v>
      </c>
      <c r="J85" s="5">
        <f>I85 * (1+Вводные!J102)</f>
        <v>1</v>
      </c>
      <c r="K85" s="5">
        <f>J85 * (1+Вводные!K102)</f>
        <v>1.03</v>
      </c>
      <c r="L85" s="5">
        <f>K85 * (1+Вводные!L102)</f>
        <v>1.0609</v>
      </c>
      <c r="M85" s="5">
        <f>L85 * (1+Вводные!M102)</f>
        <v>1.092727</v>
      </c>
      <c r="N85" s="5">
        <f>M85 * (1+Вводные!N102)</f>
        <v>1.1255088100000001</v>
      </c>
      <c r="O85" s="5">
        <f>N85 * (1+Вводные!O102)</f>
        <v>1.1592740743000001</v>
      </c>
      <c r="P85" s="5">
        <f>O85 * (1+Вводные!P102)</f>
        <v>1.1940522965290001</v>
      </c>
      <c r="Q85" s="5">
        <f>P85 * (1+Вводные!Q102)</f>
        <v>1.2298738654248702</v>
      </c>
      <c r="R85" s="5">
        <f>Q85 * (1+Вводные!R102)</f>
        <v>1.2667700813876164</v>
      </c>
      <c r="S85" s="5">
        <f>R85 * (1+Вводные!S102)</f>
        <v>1.3047731838292449</v>
      </c>
      <c r="T85" s="5">
        <f>S85 * (1+Вводные!T102)</f>
        <v>1.3439163793441222</v>
      </c>
      <c r="U85" s="5">
        <f>T85 * (1+Вводные!U102)</f>
        <v>1.3842338707244459</v>
      </c>
      <c r="V85" s="5">
        <f>U85 * (1+Вводные!V102)</f>
        <v>1.4257608868461793</v>
      </c>
      <c r="W85" s="5">
        <f>V85 * (1+Вводные!W102)</f>
        <v>1.4685337134515648</v>
      </c>
      <c r="X85" s="5">
        <f>W85 * (1+Вводные!X102)</f>
        <v>1.5125897248551119</v>
      </c>
      <c r="Y85" s="5">
        <f>X85 * (1+Вводные!Y102)</f>
        <v>1.5579674166007653</v>
      </c>
      <c r="Z85" s="5">
        <f>Y85 * (1+Вводные!Z102)</f>
        <v>1.6047064390987884</v>
      </c>
      <c r="AA85" s="5">
        <f>Z85 * (1+Вводные!AA102)</f>
        <v>1.652847632271752</v>
      </c>
      <c r="AB85" s="5">
        <f>AA85 * (1+Вводные!AB102)</f>
        <v>1.7024330612399046</v>
      </c>
      <c r="AC85" s="5">
        <f>AB85 * (1+Вводные!AC102)</f>
        <v>1.7535060530771018</v>
      </c>
      <c r="AD85" s="5">
        <f>AC85 * (1+Вводные!AD102)</f>
        <v>1.806111234669415</v>
      </c>
      <c r="AE85" s="5">
        <f>AD85 * (1+Вводные!AE102)</f>
        <v>1.8602945717094976</v>
      </c>
      <c r="AF85" s="5">
        <f>AE85 * (1+Вводные!AF102)</f>
        <v>1.9161034088607827</v>
      </c>
      <c r="AG85" s="5">
        <f>AF85 * (1+Вводные!AG102)</f>
        <v>1.9735865111266062</v>
      </c>
      <c r="AH85" s="5">
        <f>AG85 * (1+Вводные!AH102)</f>
        <v>2.0327941064604045</v>
      </c>
      <c r="AI85" s="5">
        <f>AH85 * (1+Вводные!AI102)</f>
        <v>2.0937779296542165</v>
      </c>
      <c r="AJ85" s="5">
        <f>AI85 * (1+Вводные!AJ102)</f>
        <v>2.1565912675438432</v>
      </c>
      <c r="AK85" s="5">
        <f>AJ85 * (1+Вводные!AK102)</f>
        <v>2.2212890055701586</v>
      </c>
      <c r="AL85" s="5">
        <f>AK85 * (1+Вводные!AL102)</f>
        <v>2.2879276757372633</v>
      </c>
      <c r="AM85" s="5">
        <f>AL85 * (1+Вводные!AM102)</f>
        <v>2.3565655060093813</v>
      </c>
      <c r="AN85" s="5">
        <f>AM85 * (1+Вводные!AN102)</f>
        <v>2.4272624711896627</v>
      </c>
      <c r="AO85" s="5">
        <f>AN85 * (1+Вводные!AO102)</f>
        <v>2.5000803453253524</v>
      </c>
      <c r="AP85" s="5">
        <f>AO85 * (1+Вводные!AP102)</f>
        <v>2.5750827556851132</v>
      </c>
      <c r="AQ85" s="5">
        <f>AP85 * (1+Вводные!AQ102)</f>
        <v>2.6523352383556666</v>
      </c>
      <c r="AR85" s="5">
        <f>AQ85 * (1+Вводные!AR102)</f>
        <v>2.7319052955063365</v>
      </c>
      <c r="AS85" s="5">
        <f>AR85 * (1+Вводные!AS102)</f>
        <v>2.8138624543715265</v>
      </c>
      <c r="AT85" s="5">
        <f>AS85 * (1+Вводные!AT102)</f>
        <v>2.8982783280026725</v>
      </c>
      <c r="AU85" s="5">
        <f>AT85 * (1+Вводные!AU102)</f>
        <v>2.9852266778427525</v>
      </c>
      <c r="AV85" s="5">
        <f>AU85 * (1+Вводные!AV102)</f>
        <v>3.074783478178035</v>
      </c>
      <c r="AW85" s="5">
        <f>AV85 * (1+Вводные!AW102)</f>
        <v>3.1670269825233763</v>
      </c>
      <c r="AX85" s="5">
        <f>AW85 * (1+Вводные!AX102)</f>
        <v>3.2620377919990777</v>
      </c>
      <c r="AY85" s="5">
        <f>AX85 * (1+Вводные!AY102)</f>
        <v>3.3598989257590501</v>
      </c>
      <c r="AZ85" s="5">
        <f>AY85 * (1+Вводные!AZ102)</f>
        <v>3.4606958935318217</v>
      </c>
      <c r="BA85" s="5">
        <f>AZ85 * (1+Вводные!BA102)</f>
        <v>3.5645167703377765</v>
      </c>
      <c r="BB85" s="5">
        <f>BA85 * (1+Вводные!BB102)</f>
        <v>3.67145227344791</v>
      </c>
      <c r="BC85" s="5">
        <f>BB85 * (1+Вводные!BC102)</f>
        <v>3.7815958416513475</v>
      </c>
      <c r="BD85" s="5">
        <f>BC85 * (1+Вводные!BD102)</f>
        <v>3.8950437169008882</v>
      </c>
      <c r="BE85" s="5">
        <f>BD85 * (1+Вводные!BE102)</f>
        <v>4.0118950284079151</v>
      </c>
      <c r="BF85" s="5">
        <f>BE85 * (1+Вводные!BF102)</f>
        <v>4.1322518792601528</v>
      </c>
      <c r="BG85" s="5">
        <f>BF85 * (1+Вводные!BG102)</f>
        <v>4.2562194356379575</v>
      </c>
      <c r="BH85" s="5">
        <f>BG85 * (1+Вводные!BH102)</f>
        <v>4.383906018707096</v>
      </c>
      <c r="BI85" s="5">
        <f>BH85 * (1+Вводные!BI102)</f>
        <v>4.5154231992683087</v>
      </c>
      <c r="BJ85" s="5">
        <f>BI85 * (1+Вводные!BJ102)</f>
        <v>4.6508858952463576</v>
      </c>
    </row>
    <row r="86" spans="3:62" x14ac:dyDescent="0.15">
      <c r="D86" s="9" t="str">
        <f>Вводные!$D$103</f>
        <v>Темп роста Ежемесячный расход 12</v>
      </c>
      <c r="E86" s="12" t="s">
        <v>4</v>
      </c>
      <c r="I86" s="23">
        <v>1</v>
      </c>
      <c r="J86" s="5">
        <f>I86 * (1+Вводные!J103)</f>
        <v>1</v>
      </c>
      <c r="K86" s="5">
        <f>J86 * (1+Вводные!K103)</f>
        <v>1.03</v>
      </c>
      <c r="L86" s="5">
        <f>K86 * (1+Вводные!L103)</f>
        <v>1.0609</v>
      </c>
      <c r="M86" s="5">
        <f>L86 * (1+Вводные!M103)</f>
        <v>1.092727</v>
      </c>
      <c r="N86" s="5">
        <f>M86 * (1+Вводные!N103)</f>
        <v>1.1255088100000001</v>
      </c>
      <c r="O86" s="5">
        <f>N86 * (1+Вводные!O103)</f>
        <v>1.1592740743000001</v>
      </c>
      <c r="P86" s="5">
        <f>O86 * (1+Вводные!P103)</f>
        <v>1.1940522965290001</v>
      </c>
      <c r="Q86" s="5">
        <f>P86 * (1+Вводные!Q103)</f>
        <v>1.2298738654248702</v>
      </c>
      <c r="R86" s="5">
        <f>Q86 * (1+Вводные!R103)</f>
        <v>1.2667700813876164</v>
      </c>
      <c r="S86" s="5">
        <f>R86 * (1+Вводные!S103)</f>
        <v>1.3047731838292449</v>
      </c>
      <c r="T86" s="5">
        <f>S86 * (1+Вводные!T103)</f>
        <v>1.3439163793441222</v>
      </c>
      <c r="U86" s="5">
        <f>T86 * (1+Вводные!U103)</f>
        <v>1.3842338707244459</v>
      </c>
      <c r="V86" s="5">
        <f>U86 * (1+Вводные!V103)</f>
        <v>1.4257608868461793</v>
      </c>
      <c r="W86" s="5">
        <f>V86 * (1+Вводные!W103)</f>
        <v>1.4685337134515648</v>
      </c>
      <c r="X86" s="5">
        <f>W86 * (1+Вводные!X103)</f>
        <v>1.5125897248551119</v>
      </c>
      <c r="Y86" s="5">
        <f>X86 * (1+Вводные!Y103)</f>
        <v>1.5579674166007653</v>
      </c>
      <c r="Z86" s="5">
        <f>Y86 * (1+Вводные!Z103)</f>
        <v>1.6047064390987884</v>
      </c>
      <c r="AA86" s="5">
        <f>Z86 * (1+Вводные!AA103)</f>
        <v>1.652847632271752</v>
      </c>
      <c r="AB86" s="5">
        <f>AA86 * (1+Вводные!AB103)</f>
        <v>1.7024330612399046</v>
      </c>
      <c r="AC86" s="5">
        <f>AB86 * (1+Вводные!AC103)</f>
        <v>1.7535060530771018</v>
      </c>
      <c r="AD86" s="5">
        <f>AC86 * (1+Вводные!AD103)</f>
        <v>1.806111234669415</v>
      </c>
      <c r="AE86" s="5">
        <f>AD86 * (1+Вводные!AE103)</f>
        <v>1.8602945717094976</v>
      </c>
      <c r="AF86" s="5">
        <f>AE86 * (1+Вводные!AF103)</f>
        <v>1.9161034088607827</v>
      </c>
      <c r="AG86" s="5">
        <f>AF86 * (1+Вводные!AG103)</f>
        <v>1.9735865111266062</v>
      </c>
      <c r="AH86" s="5">
        <f>AG86 * (1+Вводные!AH103)</f>
        <v>2.0327941064604045</v>
      </c>
      <c r="AI86" s="5">
        <f>AH86 * (1+Вводные!AI103)</f>
        <v>2.0937779296542165</v>
      </c>
      <c r="AJ86" s="5">
        <f>AI86 * (1+Вводные!AJ103)</f>
        <v>2.1565912675438432</v>
      </c>
      <c r="AK86" s="5">
        <f>AJ86 * (1+Вводные!AK103)</f>
        <v>2.2212890055701586</v>
      </c>
      <c r="AL86" s="5">
        <f>AK86 * (1+Вводные!AL103)</f>
        <v>2.2879276757372633</v>
      </c>
      <c r="AM86" s="5">
        <f>AL86 * (1+Вводные!AM103)</f>
        <v>2.3565655060093813</v>
      </c>
      <c r="AN86" s="5">
        <f>AM86 * (1+Вводные!AN103)</f>
        <v>2.4272624711896627</v>
      </c>
      <c r="AO86" s="5">
        <f>AN86 * (1+Вводные!AO103)</f>
        <v>2.5000803453253524</v>
      </c>
      <c r="AP86" s="5">
        <f>AO86 * (1+Вводные!AP103)</f>
        <v>2.5750827556851132</v>
      </c>
      <c r="AQ86" s="5">
        <f>AP86 * (1+Вводные!AQ103)</f>
        <v>2.6523352383556666</v>
      </c>
      <c r="AR86" s="5">
        <f>AQ86 * (1+Вводные!AR103)</f>
        <v>2.7319052955063365</v>
      </c>
      <c r="AS86" s="5">
        <f>AR86 * (1+Вводные!AS103)</f>
        <v>2.8138624543715265</v>
      </c>
      <c r="AT86" s="5">
        <f>AS86 * (1+Вводные!AT103)</f>
        <v>2.8982783280026725</v>
      </c>
      <c r="AU86" s="5">
        <f>AT86 * (1+Вводные!AU103)</f>
        <v>2.9852266778427525</v>
      </c>
      <c r="AV86" s="5">
        <f>AU86 * (1+Вводные!AV103)</f>
        <v>3.074783478178035</v>
      </c>
      <c r="AW86" s="5">
        <f>AV86 * (1+Вводные!AW103)</f>
        <v>3.1670269825233763</v>
      </c>
      <c r="AX86" s="5">
        <f>AW86 * (1+Вводные!AX103)</f>
        <v>3.2620377919990777</v>
      </c>
      <c r="AY86" s="5">
        <f>AX86 * (1+Вводные!AY103)</f>
        <v>3.3598989257590501</v>
      </c>
      <c r="AZ86" s="5">
        <f>AY86 * (1+Вводные!AZ103)</f>
        <v>3.4606958935318217</v>
      </c>
      <c r="BA86" s="5">
        <f>AZ86 * (1+Вводные!BA103)</f>
        <v>3.5645167703377765</v>
      </c>
      <c r="BB86" s="5">
        <f>BA86 * (1+Вводные!BB103)</f>
        <v>3.67145227344791</v>
      </c>
      <c r="BC86" s="5">
        <f>BB86 * (1+Вводные!BC103)</f>
        <v>3.7815958416513475</v>
      </c>
      <c r="BD86" s="5">
        <f>BC86 * (1+Вводные!BD103)</f>
        <v>3.8950437169008882</v>
      </c>
      <c r="BE86" s="5">
        <f>BD86 * (1+Вводные!BE103)</f>
        <v>4.0118950284079151</v>
      </c>
      <c r="BF86" s="5">
        <f>BE86 * (1+Вводные!BF103)</f>
        <v>4.1322518792601528</v>
      </c>
      <c r="BG86" s="5">
        <f>BF86 * (1+Вводные!BG103)</f>
        <v>4.2562194356379575</v>
      </c>
      <c r="BH86" s="5">
        <f>BG86 * (1+Вводные!BH103)</f>
        <v>4.383906018707096</v>
      </c>
      <c r="BI86" s="5">
        <f>BH86 * (1+Вводные!BI103)</f>
        <v>4.5154231992683087</v>
      </c>
      <c r="BJ86" s="5">
        <f>BI86 * (1+Вводные!BJ103)</f>
        <v>4.6508858952463576</v>
      </c>
    </row>
    <row r="87" spans="3:62" x14ac:dyDescent="0.15">
      <c r="D87" s="9" t="str">
        <f>Вводные!$D$104</f>
        <v>Темп роста Ежемесячный расход 13</v>
      </c>
      <c r="E87" s="12" t="s">
        <v>4</v>
      </c>
      <c r="I87" s="23">
        <v>1</v>
      </c>
      <c r="J87" s="5">
        <f>I87 * (1+Вводные!J104)</f>
        <v>1</v>
      </c>
      <c r="K87" s="5">
        <f>J87 * (1+Вводные!K104)</f>
        <v>1.03</v>
      </c>
      <c r="L87" s="5">
        <f>K87 * (1+Вводные!L104)</f>
        <v>1.0609</v>
      </c>
      <c r="M87" s="5">
        <f>L87 * (1+Вводные!M104)</f>
        <v>1.092727</v>
      </c>
      <c r="N87" s="5">
        <f>M87 * (1+Вводные!N104)</f>
        <v>1.1255088100000001</v>
      </c>
      <c r="O87" s="5">
        <f>N87 * (1+Вводные!O104)</f>
        <v>1.1592740743000001</v>
      </c>
      <c r="P87" s="5">
        <f>O87 * (1+Вводные!P104)</f>
        <v>1.1940522965290001</v>
      </c>
      <c r="Q87" s="5">
        <f>P87 * (1+Вводные!Q104)</f>
        <v>1.2298738654248702</v>
      </c>
      <c r="R87" s="5">
        <f>Q87 * (1+Вводные!R104)</f>
        <v>1.2667700813876164</v>
      </c>
      <c r="S87" s="5">
        <f>R87 * (1+Вводные!S104)</f>
        <v>1.3047731838292449</v>
      </c>
      <c r="T87" s="5">
        <f>S87 * (1+Вводные!T104)</f>
        <v>1.3439163793441222</v>
      </c>
      <c r="U87" s="5">
        <f>T87 * (1+Вводные!U104)</f>
        <v>1.3842338707244459</v>
      </c>
      <c r="V87" s="5">
        <f>U87 * (1+Вводные!V104)</f>
        <v>1.4257608868461793</v>
      </c>
      <c r="W87" s="5">
        <f>V87 * (1+Вводные!W104)</f>
        <v>1.4685337134515648</v>
      </c>
      <c r="X87" s="5">
        <f>W87 * (1+Вводные!X104)</f>
        <v>1.5125897248551119</v>
      </c>
      <c r="Y87" s="5">
        <f>X87 * (1+Вводные!Y104)</f>
        <v>1.5579674166007653</v>
      </c>
      <c r="Z87" s="5">
        <f>Y87 * (1+Вводные!Z104)</f>
        <v>1.6047064390987884</v>
      </c>
      <c r="AA87" s="5">
        <f>Z87 * (1+Вводные!AA104)</f>
        <v>1.652847632271752</v>
      </c>
      <c r="AB87" s="5">
        <f>AA87 * (1+Вводные!AB104)</f>
        <v>1.7024330612399046</v>
      </c>
      <c r="AC87" s="5">
        <f>AB87 * (1+Вводные!AC104)</f>
        <v>1.7535060530771018</v>
      </c>
      <c r="AD87" s="5">
        <f>AC87 * (1+Вводные!AD104)</f>
        <v>1.806111234669415</v>
      </c>
      <c r="AE87" s="5">
        <f>AD87 * (1+Вводные!AE104)</f>
        <v>1.8602945717094976</v>
      </c>
      <c r="AF87" s="5">
        <f>AE87 * (1+Вводные!AF104)</f>
        <v>1.9161034088607827</v>
      </c>
      <c r="AG87" s="5">
        <f>AF87 * (1+Вводные!AG104)</f>
        <v>1.9735865111266062</v>
      </c>
      <c r="AH87" s="5">
        <f>AG87 * (1+Вводные!AH104)</f>
        <v>2.0327941064604045</v>
      </c>
      <c r="AI87" s="5">
        <f>AH87 * (1+Вводные!AI104)</f>
        <v>2.0937779296542165</v>
      </c>
      <c r="AJ87" s="5">
        <f>AI87 * (1+Вводные!AJ104)</f>
        <v>2.1565912675438432</v>
      </c>
      <c r="AK87" s="5">
        <f>AJ87 * (1+Вводные!AK104)</f>
        <v>2.2212890055701586</v>
      </c>
      <c r="AL87" s="5">
        <f>AK87 * (1+Вводные!AL104)</f>
        <v>2.2879276757372633</v>
      </c>
      <c r="AM87" s="5">
        <f>AL87 * (1+Вводные!AM104)</f>
        <v>2.3565655060093813</v>
      </c>
      <c r="AN87" s="5">
        <f>AM87 * (1+Вводные!AN104)</f>
        <v>2.4272624711896627</v>
      </c>
      <c r="AO87" s="5">
        <f>AN87 * (1+Вводные!AO104)</f>
        <v>2.5000803453253524</v>
      </c>
      <c r="AP87" s="5">
        <f>AO87 * (1+Вводные!AP104)</f>
        <v>2.5750827556851132</v>
      </c>
      <c r="AQ87" s="5">
        <f>AP87 * (1+Вводные!AQ104)</f>
        <v>2.6523352383556666</v>
      </c>
      <c r="AR87" s="5">
        <f>AQ87 * (1+Вводные!AR104)</f>
        <v>2.7319052955063365</v>
      </c>
      <c r="AS87" s="5">
        <f>AR87 * (1+Вводные!AS104)</f>
        <v>2.8138624543715265</v>
      </c>
      <c r="AT87" s="5">
        <f>AS87 * (1+Вводные!AT104)</f>
        <v>2.8982783280026725</v>
      </c>
      <c r="AU87" s="5">
        <f>AT87 * (1+Вводные!AU104)</f>
        <v>2.9852266778427525</v>
      </c>
      <c r="AV87" s="5">
        <f>AU87 * (1+Вводные!AV104)</f>
        <v>3.074783478178035</v>
      </c>
      <c r="AW87" s="5">
        <f>AV87 * (1+Вводные!AW104)</f>
        <v>3.1670269825233763</v>
      </c>
      <c r="AX87" s="5">
        <f>AW87 * (1+Вводные!AX104)</f>
        <v>3.2620377919990777</v>
      </c>
      <c r="AY87" s="5">
        <f>AX87 * (1+Вводные!AY104)</f>
        <v>3.3598989257590501</v>
      </c>
      <c r="AZ87" s="5">
        <f>AY87 * (1+Вводные!AZ104)</f>
        <v>3.4606958935318217</v>
      </c>
      <c r="BA87" s="5">
        <f>AZ87 * (1+Вводные!BA104)</f>
        <v>3.5645167703377765</v>
      </c>
      <c r="BB87" s="5">
        <f>BA87 * (1+Вводные!BB104)</f>
        <v>3.67145227344791</v>
      </c>
      <c r="BC87" s="5">
        <f>BB87 * (1+Вводные!BC104)</f>
        <v>3.7815958416513475</v>
      </c>
      <c r="BD87" s="5">
        <f>BC87 * (1+Вводные!BD104)</f>
        <v>3.8950437169008882</v>
      </c>
      <c r="BE87" s="5">
        <f>BD87 * (1+Вводные!BE104)</f>
        <v>4.0118950284079151</v>
      </c>
      <c r="BF87" s="5">
        <f>BE87 * (1+Вводные!BF104)</f>
        <v>4.1322518792601528</v>
      </c>
      <c r="BG87" s="5">
        <f>BF87 * (1+Вводные!BG104)</f>
        <v>4.2562194356379575</v>
      </c>
      <c r="BH87" s="5">
        <f>BG87 * (1+Вводные!BH104)</f>
        <v>4.383906018707096</v>
      </c>
      <c r="BI87" s="5">
        <f>BH87 * (1+Вводные!BI104)</f>
        <v>4.5154231992683087</v>
      </c>
      <c r="BJ87" s="5">
        <f>BI87 * (1+Вводные!BJ104)</f>
        <v>4.6508858952463576</v>
      </c>
    </row>
    <row r="88" spans="3:62" x14ac:dyDescent="0.15">
      <c r="D88" s="9" t="str">
        <f>Вводные!$D$105</f>
        <v>Темп роста Ежемесячный расход 14</v>
      </c>
      <c r="E88" s="12" t="s">
        <v>4</v>
      </c>
      <c r="I88" s="23">
        <v>1</v>
      </c>
      <c r="J88" s="5">
        <f>I88 * (1+Вводные!J105)</f>
        <v>1</v>
      </c>
      <c r="K88" s="5">
        <f>J88 * (1+Вводные!K105)</f>
        <v>1.03</v>
      </c>
      <c r="L88" s="5">
        <f>K88 * (1+Вводные!L105)</f>
        <v>1.0609</v>
      </c>
      <c r="M88" s="5">
        <f>L88 * (1+Вводные!M105)</f>
        <v>1.092727</v>
      </c>
      <c r="N88" s="5">
        <f>M88 * (1+Вводные!N105)</f>
        <v>1.1255088100000001</v>
      </c>
      <c r="O88" s="5">
        <f>N88 * (1+Вводные!O105)</f>
        <v>1.1592740743000001</v>
      </c>
      <c r="P88" s="5">
        <f>O88 * (1+Вводные!P105)</f>
        <v>1.1940522965290001</v>
      </c>
      <c r="Q88" s="5">
        <f>P88 * (1+Вводные!Q105)</f>
        <v>1.2298738654248702</v>
      </c>
      <c r="R88" s="5">
        <f>Q88 * (1+Вводные!R105)</f>
        <v>1.2667700813876164</v>
      </c>
      <c r="S88" s="5">
        <f>R88 * (1+Вводные!S105)</f>
        <v>1.3047731838292449</v>
      </c>
      <c r="T88" s="5">
        <f>S88 * (1+Вводные!T105)</f>
        <v>1.3439163793441222</v>
      </c>
      <c r="U88" s="5">
        <f>T88 * (1+Вводные!U105)</f>
        <v>1.3842338707244459</v>
      </c>
      <c r="V88" s="5">
        <f>U88 * (1+Вводные!V105)</f>
        <v>1.4257608868461793</v>
      </c>
      <c r="W88" s="5">
        <f>V88 * (1+Вводные!W105)</f>
        <v>1.4685337134515648</v>
      </c>
      <c r="X88" s="5">
        <f>W88 * (1+Вводные!X105)</f>
        <v>1.5125897248551119</v>
      </c>
      <c r="Y88" s="5">
        <f>X88 * (1+Вводные!Y105)</f>
        <v>1.5579674166007653</v>
      </c>
      <c r="Z88" s="5">
        <f>Y88 * (1+Вводные!Z105)</f>
        <v>1.6047064390987884</v>
      </c>
      <c r="AA88" s="5">
        <f>Z88 * (1+Вводные!AA105)</f>
        <v>1.652847632271752</v>
      </c>
      <c r="AB88" s="5">
        <f>AA88 * (1+Вводные!AB105)</f>
        <v>1.7024330612399046</v>
      </c>
      <c r="AC88" s="5">
        <f>AB88 * (1+Вводные!AC105)</f>
        <v>1.7535060530771018</v>
      </c>
      <c r="AD88" s="5">
        <f>AC88 * (1+Вводные!AD105)</f>
        <v>1.806111234669415</v>
      </c>
      <c r="AE88" s="5">
        <f>AD88 * (1+Вводные!AE105)</f>
        <v>1.8602945717094976</v>
      </c>
      <c r="AF88" s="5">
        <f>AE88 * (1+Вводные!AF105)</f>
        <v>1.9161034088607827</v>
      </c>
      <c r="AG88" s="5">
        <f>AF88 * (1+Вводные!AG105)</f>
        <v>1.9735865111266062</v>
      </c>
      <c r="AH88" s="5">
        <f>AG88 * (1+Вводные!AH105)</f>
        <v>2.0327941064604045</v>
      </c>
      <c r="AI88" s="5">
        <f>AH88 * (1+Вводные!AI105)</f>
        <v>2.0937779296542165</v>
      </c>
      <c r="AJ88" s="5">
        <f>AI88 * (1+Вводные!AJ105)</f>
        <v>2.1565912675438432</v>
      </c>
      <c r="AK88" s="5">
        <f>AJ88 * (1+Вводные!AK105)</f>
        <v>2.2212890055701586</v>
      </c>
      <c r="AL88" s="5">
        <f>AK88 * (1+Вводные!AL105)</f>
        <v>2.2879276757372633</v>
      </c>
      <c r="AM88" s="5">
        <f>AL88 * (1+Вводные!AM105)</f>
        <v>2.3565655060093813</v>
      </c>
      <c r="AN88" s="5">
        <f>AM88 * (1+Вводные!AN105)</f>
        <v>2.4272624711896627</v>
      </c>
      <c r="AO88" s="5">
        <f>AN88 * (1+Вводные!AO105)</f>
        <v>2.5000803453253524</v>
      </c>
      <c r="AP88" s="5">
        <f>AO88 * (1+Вводные!AP105)</f>
        <v>2.5750827556851132</v>
      </c>
      <c r="AQ88" s="5">
        <f>AP88 * (1+Вводные!AQ105)</f>
        <v>2.6523352383556666</v>
      </c>
      <c r="AR88" s="5">
        <f>AQ88 * (1+Вводные!AR105)</f>
        <v>2.7319052955063365</v>
      </c>
      <c r="AS88" s="5">
        <f>AR88 * (1+Вводные!AS105)</f>
        <v>2.8138624543715265</v>
      </c>
      <c r="AT88" s="5">
        <f>AS88 * (1+Вводные!AT105)</f>
        <v>2.8982783280026725</v>
      </c>
      <c r="AU88" s="5">
        <f>AT88 * (1+Вводные!AU105)</f>
        <v>2.9852266778427525</v>
      </c>
      <c r="AV88" s="5">
        <f>AU88 * (1+Вводные!AV105)</f>
        <v>3.074783478178035</v>
      </c>
      <c r="AW88" s="5">
        <f>AV88 * (1+Вводные!AW105)</f>
        <v>3.1670269825233763</v>
      </c>
      <c r="AX88" s="5">
        <f>AW88 * (1+Вводные!AX105)</f>
        <v>3.2620377919990777</v>
      </c>
      <c r="AY88" s="5">
        <f>AX88 * (1+Вводные!AY105)</f>
        <v>3.3598989257590501</v>
      </c>
      <c r="AZ88" s="5">
        <f>AY88 * (1+Вводные!AZ105)</f>
        <v>3.4606958935318217</v>
      </c>
      <c r="BA88" s="5">
        <f>AZ88 * (1+Вводные!BA105)</f>
        <v>3.5645167703377765</v>
      </c>
      <c r="BB88" s="5">
        <f>BA88 * (1+Вводные!BB105)</f>
        <v>3.67145227344791</v>
      </c>
      <c r="BC88" s="5">
        <f>BB88 * (1+Вводные!BC105)</f>
        <v>3.7815958416513475</v>
      </c>
      <c r="BD88" s="5">
        <f>BC88 * (1+Вводные!BD105)</f>
        <v>3.8950437169008882</v>
      </c>
      <c r="BE88" s="5">
        <f>BD88 * (1+Вводные!BE105)</f>
        <v>4.0118950284079151</v>
      </c>
      <c r="BF88" s="5">
        <f>BE88 * (1+Вводные!BF105)</f>
        <v>4.1322518792601528</v>
      </c>
      <c r="BG88" s="5">
        <f>BF88 * (1+Вводные!BG105)</f>
        <v>4.2562194356379575</v>
      </c>
      <c r="BH88" s="5">
        <f>BG88 * (1+Вводные!BH105)</f>
        <v>4.383906018707096</v>
      </c>
      <c r="BI88" s="5">
        <f>BH88 * (1+Вводные!BI105)</f>
        <v>4.5154231992683087</v>
      </c>
      <c r="BJ88" s="5">
        <f>BI88 * (1+Вводные!BJ105)</f>
        <v>4.6508858952463576</v>
      </c>
    </row>
    <row r="89" spans="3:62" x14ac:dyDescent="0.15">
      <c r="D89" s="9" t="str">
        <f>Вводные!$D$106</f>
        <v>Темп роста Ежемесячный расход 15</v>
      </c>
      <c r="E89" s="12" t="s">
        <v>4</v>
      </c>
      <c r="I89" s="23">
        <v>1</v>
      </c>
      <c r="J89" s="5">
        <f>I89 * (1+Вводные!J106)</f>
        <v>1</v>
      </c>
      <c r="K89" s="5">
        <f>J89 * (1+Вводные!K106)</f>
        <v>1.03</v>
      </c>
      <c r="L89" s="5">
        <f>K89 * (1+Вводные!L106)</f>
        <v>1.0609</v>
      </c>
      <c r="M89" s="5">
        <f>L89 * (1+Вводные!M106)</f>
        <v>1.092727</v>
      </c>
      <c r="N89" s="5">
        <f>M89 * (1+Вводные!N106)</f>
        <v>1.1255088100000001</v>
      </c>
      <c r="O89" s="5">
        <f>N89 * (1+Вводные!O106)</f>
        <v>1.1592740743000001</v>
      </c>
      <c r="P89" s="5">
        <f>O89 * (1+Вводные!P106)</f>
        <v>1.1940522965290001</v>
      </c>
      <c r="Q89" s="5">
        <f>P89 * (1+Вводные!Q106)</f>
        <v>1.2298738654248702</v>
      </c>
      <c r="R89" s="5">
        <f>Q89 * (1+Вводные!R106)</f>
        <v>1.2667700813876164</v>
      </c>
      <c r="S89" s="5">
        <f>R89 * (1+Вводные!S106)</f>
        <v>1.3047731838292449</v>
      </c>
      <c r="T89" s="5">
        <f>S89 * (1+Вводные!T106)</f>
        <v>1.3439163793441222</v>
      </c>
      <c r="U89" s="5">
        <f>T89 * (1+Вводные!U106)</f>
        <v>1.3842338707244459</v>
      </c>
      <c r="V89" s="5">
        <f>U89 * (1+Вводные!V106)</f>
        <v>1.4257608868461793</v>
      </c>
      <c r="W89" s="5">
        <f>V89 * (1+Вводные!W106)</f>
        <v>1.4685337134515648</v>
      </c>
      <c r="X89" s="5">
        <f>W89 * (1+Вводные!X106)</f>
        <v>1.5125897248551119</v>
      </c>
      <c r="Y89" s="5">
        <f>X89 * (1+Вводные!Y106)</f>
        <v>1.5579674166007653</v>
      </c>
      <c r="Z89" s="5">
        <f>Y89 * (1+Вводные!Z106)</f>
        <v>1.6047064390987884</v>
      </c>
      <c r="AA89" s="5">
        <f>Z89 * (1+Вводные!AA106)</f>
        <v>1.652847632271752</v>
      </c>
      <c r="AB89" s="5">
        <f>AA89 * (1+Вводные!AB106)</f>
        <v>1.7024330612399046</v>
      </c>
      <c r="AC89" s="5">
        <f>AB89 * (1+Вводные!AC106)</f>
        <v>1.7535060530771018</v>
      </c>
      <c r="AD89" s="5">
        <f>AC89 * (1+Вводные!AD106)</f>
        <v>1.806111234669415</v>
      </c>
      <c r="AE89" s="5">
        <f>AD89 * (1+Вводные!AE106)</f>
        <v>1.8602945717094976</v>
      </c>
      <c r="AF89" s="5">
        <f>AE89 * (1+Вводные!AF106)</f>
        <v>1.9161034088607827</v>
      </c>
      <c r="AG89" s="5">
        <f>AF89 * (1+Вводные!AG106)</f>
        <v>1.9735865111266062</v>
      </c>
      <c r="AH89" s="5">
        <f>AG89 * (1+Вводные!AH106)</f>
        <v>2.0327941064604045</v>
      </c>
      <c r="AI89" s="5">
        <f>AH89 * (1+Вводные!AI106)</f>
        <v>2.0937779296542165</v>
      </c>
      <c r="AJ89" s="5">
        <f>AI89 * (1+Вводные!AJ106)</f>
        <v>2.1565912675438432</v>
      </c>
      <c r="AK89" s="5">
        <f>AJ89 * (1+Вводные!AK106)</f>
        <v>2.2212890055701586</v>
      </c>
      <c r="AL89" s="5">
        <f>AK89 * (1+Вводные!AL106)</f>
        <v>2.2879276757372633</v>
      </c>
      <c r="AM89" s="5">
        <f>AL89 * (1+Вводные!AM106)</f>
        <v>2.3565655060093813</v>
      </c>
      <c r="AN89" s="5">
        <f>AM89 * (1+Вводные!AN106)</f>
        <v>2.4272624711896627</v>
      </c>
      <c r="AO89" s="5">
        <f>AN89 * (1+Вводные!AO106)</f>
        <v>2.5000803453253524</v>
      </c>
      <c r="AP89" s="5">
        <f>AO89 * (1+Вводные!AP106)</f>
        <v>2.5750827556851132</v>
      </c>
      <c r="AQ89" s="5">
        <f>AP89 * (1+Вводные!AQ106)</f>
        <v>2.6523352383556666</v>
      </c>
      <c r="AR89" s="5">
        <f>AQ89 * (1+Вводные!AR106)</f>
        <v>2.7319052955063365</v>
      </c>
      <c r="AS89" s="5">
        <f>AR89 * (1+Вводные!AS106)</f>
        <v>2.8138624543715265</v>
      </c>
      <c r="AT89" s="5">
        <f>AS89 * (1+Вводные!AT106)</f>
        <v>2.8982783280026725</v>
      </c>
      <c r="AU89" s="5">
        <f>AT89 * (1+Вводные!AU106)</f>
        <v>2.9852266778427525</v>
      </c>
      <c r="AV89" s="5">
        <f>AU89 * (1+Вводные!AV106)</f>
        <v>3.074783478178035</v>
      </c>
      <c r="AW89" s="5">
        <f>AV89 * (1+Вводные!AW106)</f>
        <v>3.1670269825233763</v>
      </c>
      <c r="AX89" s="5">
        <f>AW89 * (1+Вводные!AX106)</f>
        <v>3.2620377919990777</v>
      </c>
      <c r="AY89" s="5">
        <f>AX89 * (1+Вводные!AY106)</f>
        <v>3.3598989257590501</v>
      </c>
      <c r="AZ89" s="5">
        <f>AY89 * (1+Вводные!AZ106)</f>
        <v>3.4606958935318217</v>
      </c>
      <c r="BA89" s="5">
        <f>AZ89 * (1+Вводные!BA106)</f>
        <v>3.5645167703377765</v>
      </c>
      <c r="BB89" s="5">
        <f>BA89 * (1+Вводные!BB106)</f>
        <v>3.67145227344791</v>
      </c>
      <c r="BC89" s="5">
        <f>BB89 * (1+Вводные!BC106)</f>
        <v>3.7815958416513475</v>
      </c>
      <c r="BD89" s="5">
        <f>BC89 * (1+Вводные!BD106)</f>
        <v>3.8950437169008882</v>
      </c>
      <c r="BE89" s="5">
        <f>BD89 * (1+Вводные!BE106)</f>
        <v>4.0118950284079151</v>
      </c>
      <c r="BF89" s="5">
        <f>BE89 * (1+Вводные!BF106)</f>
        <v>4.1322518792601528</v>
      </c>
      <c r="BG89" s="5">
        <f>BF89 * (1+Вводные!BG106)</f>
        <v>4.2562194356379575</v>
      </c>
      <c r="BH89" s="5">
        <f>BG89 * (1+Вводные!BH106)</f>
        <v>4.383906018707096</v>
      </c>
      <c r="BI89" s="5">
        <f>BH89 * (1+Вводные!BI106)</f>
        <v>4.5154231992683087</v>
      </c>
      <c r="BJ89" s="5">
        <f>BI89 * (1+Вводные!BJ106)</f>
        <v>4.6508858952463576</v>
      </c>
    </row>
    <row r="90" spans="3:62" x14ac:dyDescent="0.15">
      <c r="D90" s="9" t="str">
        <f>Вводные!$D$107</f>
        <v>Темп роста Ежемесячный расход 16</v>
      </c>
      <c r="E90" s="12" t="s">
        <v>4</v>
      </c>
      <c r="I90" s="23">
        <v>1</v>
      </c>
      <c r="J90" s="5">
        <f>I90 * (1+Вводные!J107)</f>
        <v>1</v>
      </c>
      <c r="K90" s="5">
        <f>J90 * (1+Вводные!K107)</f>
        <v>1.03</v>
      </c>
      <c r="L90" s="5">
        <f>K90 * (1+Вводные!L107)</f>
        <v>1.0609</v>
      </c>
      <c r="M90" s="5">
        <f>L90 * (1+Вводные!M107)</f>
        <v>1.092727</v>
      </c>
      <c r="N90" s="5">
        <f>M90 * (1+Вводные!N107)</f>
        <v>1.1255088100000001</v>
      </c>
      <c r="O90" s="5">
        <f>N90 * (1+Вводные!O107)</f>
        <v>1.1592740743000001</v>
      </c>
      <c r="P90" s="5">
        <f>O90 * (1+Вводные!P107)</f>
        <v>1.1940522965290001</v>
      </c>
      <c r="Q90" s="5">
        <f>P90 * (1+Вводные!Q107)</f>
        <v>1.2298738654248702</v>
      </c>
      <c r="R90" s="5">
        <f>Q90 * (1+Вводные!R107)</f>
        <v>1.2667700813876164</v>
      </c>
      <c r="S90" s="5">
        <f>R90 * (1+Вводные!S107)</f>
        <v>1.3047731838292449</v>
      </c>
      <c r="T90" s="5">
        <f>S90 * (1+Вводные!T107)</f>
        <v>1.3439163793441222</v>
      </c>
      <c r="U90" s="5">
        <f>T90 * (1+Вводные!U107)</f>
        <v>1.3842338707244459</v>
      </c>
      <c r="V90" s="5">
        <f>U90 * (1+Вводные!V107)</f>
        <v>1.4257608868461793</v>
      </c>
      <c r="W90" s="5">
        <f>V90 * (1+Вводные!W107)</f>
        <v>1.4685337134515648</v>
      </c>
      <c r="X90" s="5">
        <f>W90 * (1+Вводные!X107)</f>
        <v>1.5125897248551119</v>
      </c>
      <c r="Y90" s="5">
        <f>X90 * (1+Вводные!Y107)</f>
        <v>1.5579674166007653</v>
      </c>
      <c r="Z90" s="5">
        <f>Y90 * (1+Вводные!Z107)</f>
        <v>1.6047064390987884</v>
      </c>
      <c r="AA90" s="5">
        <f>Z90 * (1+Вводные!AA107)</f>
        <v>1.652847632271752</v>
      </c>
      <c r="AB90" s="5">
        <f>AA90 * (1+Вводные!AB107)</f>
        <v>1.7024330612399046</v>
      </c>
      <c r="AC90" s="5">
        <f>AB90 * (1+Вводные!AC107)</f>
        <v>1.7535060530771018</v>
      </c>
      <c r="AD90" s="5">
        <f>AC90 * (1+Вводные!AD107)</f>
        <v>1.806111234669415</v>
      </c>
      <c r="AE90" s="5">
        <f>AD90 * (1+Вводные!AE107)</f>
        <v>1.8602945717094976</v>
      </c>
      <c r="AF90" s="5">
        <f>AE90 * (1+Вводные!AF107)</f>
        <v>1.9161034088607827</v>
      </c>
      <c r="AG90" s="5">
        <f>AF90 * (1+Вводные!AG107)</f>
        <v>1.9735865111266062</v>
      </c>
      <c r="AH90" s="5">
        <f>AG90 * (1+Вводные!AH107)</f>
        <v>2.0327941064604045</v>
      </c>
      <c r="AI90" s="5">
        <f>AH90 * (1+Вводные!AI107)</f>
        <v>2.0937779296542165</v>
      </c>
      <c r="AJ90" s="5">
        <f>AI90 * (1+Вводные!AJ107)</f>
        <v>2.1565912675438432</v>
      </c>
      <c r="AK90" s="5">
        <f>AJ90 * (1+Вводные!AK107)</f>
        <v>2.2212890055701586</v>
      </c>
      <c r="AL90" s="5">
        <f>AK90 * (1+Вводные!AL107)</f>
        <v>2.2879276757372633</v>
      </c>
      <c r="AM90" s="5">
        <f>AL90 * (1+Вводные!AM107)</f>
        <v>2.3565655060093813</v>
      </c>
      <c r="AN90" s="5">
        <f>AM90 * (1+Вводные!AN107)</f>
        <v>2.4272624711896627</v>
      </c>
      <c r="AO90" s="5">
        <f>AN90 * (1+Вводные!AO107)</f>
        <v>2.5000803453253524</v>
      </c>
      <c r="AP90" s="5">
        <f>AO90 * (1+Вводные!AP107)</f>
        <v>2.5750827556851132</v>
      </c>
      <c r="AQ90" s="5">
        <f>AP90 * (1+Вводные!AQ107)</f>
        <v>2.6523352383556666</v>
      </c>
      <c r="AR90" s="5">
        <f>AQ90 * (1+Вводные!AR107)</f>
        <v>2.7319052955063365</v>
      </c>
      <c r="AS90" s="5">
        <f>AR90 * (1+Вводные!AS107)</f>
        <v>2.8138624543715265</v>
      </c>
      <c r="AT90" s="5">
        <f>AS90 * (1+Вводные!AT107)</f>
        <v>2.8982783280026725</v>
      </c>
      <c r="AU90" s="5">
        <f>AT90 * (1+Вводные!AU107)</f>
        <v>2.9852266778427525</v>
      </c>
      <c r="AV90" s="5">
        <f>AU90 * (1+Вводные!AV107)</f>
        <v>3.074783478178035</v>
      </c>
      <c r="AW90" s="5">
        <f>AV90 * (1+Вводные!AW107)</f>
        <v>3.1670269825233763</v>
      </c>
      <c r="AX90" s="5">
        <f>AW90 * (1+Вводные!AX107)</f>
        <v>3.2620377919990777</v>
      </c>
      <c r="AY90" s="5">
        <f>AX90 * (1+Вводные!AY107)</f>
        <v>3.3598989257590501</v>
      </c>
      <c r="AZ90" s="5">
        <f>AY90 * (1+Вводные!AZ107)</f>
        <v>3.4606958935318217</v>
      </c>
      <c r="BA90" s="5">
        <f>AZ90 * (1+Вводные!BA107)</f>
        <v>3.5645167703377765</v>
      </c>
      <c r="BB90" s="5">
        <f>BA90 * (1+Вводные!BB107)</f>
        <v>3.67145227344791</v>
      </c>
      <c r="BC90" s="5">
        <f>BB90 * (1+Вводные!BC107)</f>
        <v>3.7815958416513475</v>
      </c>
      <c r="BD90" s="5">
        <f>BC90 * (1+Вводные!BD107)</f>
        <v>3.8950437169008882</v>
      </c>
      <c r="BE90" s="5">
        <f>BD90 * (1+Вводные!BE107)</f>
        <v>4.0118950284079151</v>
      </c>
      <c r="BF90" s="5">
        <f>BE90 * (1+Вводные!BF107)</f>
        <v>4.1322518792601528</v>
      </c>
      <c r="BG90" s="5">
        <f>BF90 * (1+Вводные!BG107)</f>
        <v>4.2562194356379575</v>
      </c>
      <c r="BH90" s="5">
        <f>BG90 * (1+Вводные!BH107)</f>
        <v>4.383906018707096</v>
      </c>
      <c r="BI90" s="5">
        <f>BH90 * (1+Вводные!BI107)</f>
        <v>4.5154231992683087</v>
      </c>
      <c r="BJ90" s="5">
        <f>BI90 * (1+Вводные!BJ107)</f>
        <v>4.6508858952463576</v>
      </c>
    </row>
    <row r="91" spans="3:62" x14ac:dyDescent="0.15">
      <c r="D91" s="9" t="str">
        <f>Вводные!$D$108</f>
        <v>Темп роста Ежемесячный расход 17</v>
      </c>
      <c r="E91" s="12" t="s">
        <v>4</v>
      </c>
      <c r="I91" s="23">
        <v>1</v>
      </c>
      <c r="J91" s="5">
        <f>I91 * (1+Вводные!J108)</f>
        <v>1</v>
      </c>
      <c r="K91" s="5">
        <f>J91 * (1+Вводные!K108)</f>
        <v>1.03</v>
      </c>
      <c r="L91" s="5">
        <f>K91 * (1+Вводные!L108)</f>
        <v>1.0609</v>
      </c>
      <c r="M91" s="5">
        <f>L91 * (1+Вводные!M108)</f>
        <v>1.092727</v>
      </c>
      <c r="N91" s="5">
        <f>M91 * (1+Вводные!N108)</f>
        <v>1.1255088100000001</v>
      </c>
      <c r="O91" s="5">
        <f>N91 * (1+Вводные!O108)</f>
        <v>1.1592740743000001</v>
      </c>
      <c r="P91" s="5">
        <f>O91 * (1+Вводные!P108)</f>
        <v>1.1940522965290001</v>
      </c>
      <c r="Q91" s="5">
        <f>P91 * (1+Вводные!Q108)</f>
        <v>1.2298738654248702</v>
      </c>
      <c r="R91" s="5">
        <f>Q91 * (1+Вводные!R108)</f>
        <v>1.2667700813876164</v>
      </c>
      <c r="S91" s="5">
        <f>R91 * (1+Вводные!S108)</f>
        <v>1.3047731838292449</v>
      </c>
      <c r="T91" s="5">
        <f>S91 * (1+Вводные!T108)</f>
        <v>1.3439163793441222</v>
      </c>
      <c r="U91" s="5">
        <f>T91 * (1+Вводные!U108)</f>
        <v>1.3842338707244459</v>
      </c>
      <c r="V91" s="5">
        <f>U91 * (1+Вводные!V108)</f>
        <v>1.4257608868461793</v>
      </c>
      <c r="W91" s="5">
        <f>V91 * (1+Вводные!W108)</f>
        <v>1.4685337134515648</v>
      </c>
      <c r="X91" s="5">
        <f>W91 * (1+Вводные!X108)</f>
        <v>1.5125897248551119</v>
      </c>
      <c r="Y91" s="5">
        <f>X91 * (1+Вводные!Y108)</f>
        <v>1.5579674166007653</v>
      </c>
      <c r="Z91" s="5">
        <f>Y91 * (1+Вводные!Z108)</f>
        <v>1.6047064390987884</v>
      </c>
      <c r="AA91" s="5">
        <f>Z91 * (1+Вводные!AA108)</f>
        <v>1.652847632271752</v>
      </c>
      <c r="AB91" s="5">
        <f>AA91 * (1+Вводные!AB108)</f>
        <v>1.7024330612399046</v>
      </c>
      <c r="AC91" s="5">
        <f>AB91 * (1+Вводные!AC108)</f>
        <v>1.7535060530771018</v>
      </c>
      <c r="AD91" s="5">
        <f>AC91 * (1+Вводные!AD108)</f>
        <v>1.806111234669415</v>
      </c>
      <c r="AE91" s="5">
        <f>AD91 * (1+Вводные!AE108)</f>
        <v>1.8602945717094976</v>
      </c>
      <c r="AF91" s="5">
        <f>AE91 * (1+Вводные!AF108)</f>
        <v>1.9161034088607827</v>
      </c>
      <c r="AG91" s="5">
        <f>AF91 * (1+Вводные!AG108)</f>
        <v>1.9735865111266062</v>
      </c>
      <c r="AH91" s="5">
        <f>AG91 * (1+Вводные!AH108)</f>
        <v>2.0327941064604045</v>
      </c>
      <c r="AI91" s="5">
        <f>AH91 * (1+Вводные!AI108)</f>
        <v>2.0937779296542165</v>
      </c>
      <c r="AJ91" s="5">
        <f>AI91 * (1+Вводные!AJ108)</f>
        <v>2.1565912675438432</v>
      </c>
      <c r="AK91" s="5">
        <f>AJ91 * (1+Вводные!AK108)</f>
        <v>2.2212890055701586</v>
      </c>
      <c r="AL91" s="5">
        <f>AK91 * (1+Вводные!AL108)</f>
        <v>2.2879276757372633</v>
      </c>
      <c r="AM91" s="5">
        <f>AL91 * (1+Вводные!AM108)</f>
        <v>2.3565655060093813</v>
      </c>
      <c r="AN91" s="5">
        <f>AM91 * (1+Вводные!AN108)</f>
        <v>2.4272624711896627</v>
      </c>
      <c r="AO91" s="5">
        <f>AN91 * (1+Вводные!AO108)</f>
        <v>2.5000803453253524</v>
      </c>
      <c r="AP91" s="5">
        <f>AO91 * (1+Вводные!AP108)</f>
        <v>2.5750827556851132</v>
      </c>
      <c r="AQ91" s="5">
        <f>AP91 * (1+Вводные!AQ108)</f>
        <v>2.6523352383556666</v>
      </c>
      <c r="AR91" s="5">
        <f>AQ91 * (1+Вводные!AR108)</f>
        <v>2.7319052955063365</v>
      </c>
      <c r="AS91" s="5">
        <f>AR91 * (1+Вводные!AS108)</f>
        <v>2.8138624543715265</v>
      </c>
      <c r="AT91" s="5">
        <f>AS91 * (1+Вводные!AT108)</f>
        <v>2.8982783280026725</v>
      </c>
      <c r="AU91" s="5">
        <f>AT91 * (1+Вводные!AU108)</f>
        <v>2.9852266778427525</v>
      </c>
      <c r="AV91" s="5">
        <f>AU91 * (1+Вводные!AV108)</f>
        <v>3.074783478178035</v>
      </c>
      <c r="AW91" s="5">
        <f>AV91 * (1+Вводные!AW108)</f>
        <v>3.1670269825233763</v>
      </c>
      <c r="AX91" s="5">
        <f>AW91 * (1+Вводные!AX108)</f>
        <v>3.2620377919990777</v>
      </c>
      <c r="AY91" s="5">
        <f>AX91 * (1+Вводные!AY108)</f>
        <v>3.3598989257590501</v>
      </c>
      <c r="AZ91" s="5">
        <f>AY91 * (1+Вводные!AZ108)</f>
        <v>3.4606958935318217</v>
      </c>
      <c r="BA91" s="5">
        <f>AZ91 * (1+Вводные!BA108)</f>
        <v>3.5645167703377765</v>
      </c>
      <c r="BB91" s="5">
        <f>BA91 * (1+Вводные!BB108)</f>
        <v>3.67145227344791</v>
      </c>
      <c r="BC91" s="5">
        <f>BB91 * (1+Вводные!BC108)</f>
        <v>3.7815958416513475</v>
      </c>
      <c r="BD91" s="5">
        <f>BC91 * (1+Вводные!BD108)</f>
        <v>3.8950437169008882</v>
      </c>
      <c r="BE91" s="5">
        <f>BD91 * (1+Вводные!BE108)</f>
        <v>4.0118950284079151</v>
      </c>
      <c r="BF91" s="5">
        <f>BE91 * (1+Вводные!BF108)</f>
        <v>4.1322518792601528</v>
      </c>
      <c r="BG91" s="5">
        <f>BF91 * (1+Вводные!BG108)</f>
        <v>4.2562194356379575</v>
      </c>
      <c r="BH91" s="5">
        <f>BG91 * (1+Вводные!BH108)</f>
        <v>4.383906018707096</v>
      </c>
      <c r="BI91" s="5">
        <f>BH91 * (1+Вводные!BI108)</f>
        <v>4.5154231992683087</v>
      </c>
      <c r="BJ91" s="5">
        <f>BI91 * (1+Вводные!BJ108)</f>
        <v>4.6508858952463576</v>
      </c>
    </row>
    <row r="92" spans="3:62" x14ac:dyDescent="0.15">
      <c r="D92" s="9" t="str">
        <f>Вводные!$D$109</f>
        <v>Темп роста Ежемесячный расход 18</v>
      </c>
      <c r="E92" s="12" t="s">
        <v>4</v>
      </c>
      <c r="I92" s="23">
        <v>1</v>
      </c>
      <c r="J92" s="5">
        <f>I92 * (1+Вводные!J109)</f>
        <v>1</v>
      </c>
      <c r="K92" s="5">
        <f>J92 * (1+Вводные!K109)</f>
        <v>1.03</v>
      </c>
      <c r="L92" s="5">
        <f>K92 * (1+Вводные!L109)</f>
        <v>1.0609</v>
      </c>
      <c r="M92" s="5">
        <f>L92 * (1+Вводные!M109)</f>
        <v>1.092727</v>
      </c>
      <c r="N92" s="5">
        <f>M92 * (1+Вводные!N109)</f>
        <v>1.1255088100000001</v>
      </c>
      <c r="O92" s="5">
        <f>N92 * (1+Вводные!O109)</f>
        <v>1.1592740743000001</v>
      </c>
      <c r="P92" s="5">
        <f>O92 * (1+Вводные!P109)</f>
        <v>1.1940522965290001</v>
      </c>
      <c r="Q92" s="5">
        <f>P92 * (1+Вводные!Q109)</f>
        <v>1.2298738654248702</v>
      </c>
      <c r="R92" s="5">
        <f>Q92 * (1+Вводные!R109)</f>
        <v>1.2667700813876164</v>
      </c>
      <c r="S92" s="5">
        <f>R92 * (1+Вводные!S109)</f>
        <v>1.3047731838292449</v>
      </c>
      <c r="T92" s="5">
        <f>S92 * (1+Вводные!T109)</f>
        <v>1.3439163793441222</v>
      </c>
      <c r="U92" s="5">
        <f>T92 * (1+Вводные!U109)</f>
        <v>1.3842338707244459</v>
      </c>
      <c r="V92" s="5">
        <f>U92 * (1+Вводные!V109)</f>
        <v>1.4257608868461793</v>
      </c>
      <c r="W92" s="5">
        <f>V92 * (1+Вводные!W109)</f>
        <v>1.4685337134515648</v>
      </c>
      <c r="X92" s="5">
        <f>W92 * (1+Вводные!X109)</f>
        <v>1.5125897248551119</v>
      </c>
      <c r="Y92" s="5">
        <f>X92 * (1+Вводные!Y109)</f>
        <v>1.5579674166007653</v>
      </c>
      <c r="Z92" s="5">
        <f>Y92 * (1+Вводные!Z109)</f>
        <v>1.6047064390987884</v>
      </c>
      <c r="AA92" s="5">
        <f>Z92 * (1+Вводные!AA109)</f>
        <v>1.652847632271752</v>
      </c>
      <c r="AB92" s="5">
        <f>AA92 * (1+Вводные!AB109)</f>
        <v>1.7024330612399046</v>
      </c>
      <c r="AC92" s="5">
        <f>AB92 * (1+Вводные!AC109)</f>
        <v>1.7535060530771018</v>
      </c>
      <c r="AD92" s="5">
        <f>AC92 * (1+Вводные!AD109)</f>
        <v>1.806111234669415</v>
      </c>
      <c r="AE92" s="5">
        <f>AD92 * (1+Вводные!AE109)</f>
        <v>1.8602945717094976</v>
      </c>
      <c r="AF92" s="5">
        <f>AE92 * (1+Вводные!AF109)</f>
        <v>1.9161034088607827</v>
      </c>
      <c r="AG92" s="5">
        <f>AF92 * (1+Вводные!AG109)</f>
        <v>1.9735865111266062</v>
      </c>
      <c r="AH92" s="5">
        <f>AG92 * (1+Вводные!AH109)</f>
        <v>2.0327941064604045</v>
      </c>
      <c r="AI92" s="5">
        <f>AH92 * (1+Вводные!AI109)</f>
        <v>2.0937779296542165</v>
      </c>
      <c r="AJ92" s="5">
        <f>AI92 * (1+Вводные!AJ109)</f>
        <v>2.1565912675438432</v>
      </c>
      <c r="AK92" s="5">
        <f>AJ92 * (1+Вводные!AK109)</f>
        <v>2.2212890055701586</v>
      </c>
      <c r="AL92" s="5">
        <f>AK92 * (1+Вводные!AL109)</f>
        <v>2.2879276757372633</v>
      </c>
      <c r="AM92" s="5">
        <f>AL92 * (1+Вводные!AM109)</f>
        <v>2.3565655060093813</v>
      </c>
      <c r="AN92" s="5">
        <f>AM92 * (1+Вводные!AN109)</f>
        <v>2.4272624711896627</v>
      </c>
      <c r="AO92" s="5">
        <f>AN92 * (1+Вводные!AO109)</f>
        <v>2.5000803453253524</v>
      </c>
      <c r="AP92" s="5">
        <f>AO92 * (1+Вводные!AP109)</f>
        <v>2.5750827556851132</v>
      </c>
      <c r="AQ92" s="5">
        <f>AP92 * (1+Вводные!AQ109)</f>
        <v>2.6523352383556666</v>
      </c>
      <c r="AR92" s="5">
        <f>AQ92 * (1+Вводные!AR109)</f>
        <v>2.7319052955063365</v>
      </c>
      <c r="AS92" s="5">
        <f>AR92 * (1+Вводные!AS109)</f>
        <v>2.8138624543715265</v>
      </c>
      <c r="AT92" s="5">
        <f>AS92 * (1+Вводные!AT109)</f>
        <v>2.8982783280026725</v>
      </c>
      <c r="AU92" s="5">
        <f>AT92 * (1+Вводные!AU109)</f>
        <v>2.9852266778427525</v>
      </c>
      <c r="AV92" s="5">
        <f>AU92 * (1+Вводные!AV109)</f>
        <v>3.074783478178035</v>
      </c>
      <c r="AW92" s="5">
        <f>AV92 * (1+Вводные!AW109)</f>
        <v>3.1670269825233763</v>
      </c>
      <c r="AX92" s="5">
        <f>AW92 * (1+Вводные!AX109)</f>
        <v>3.2620377919990777</v>
      </c>
      <c r="AY92" s="5">
        <f>AX92 * (1+Вводные!AY109)</f>
        <v>3.3598989257590501</v>
      </c>
      <c r="AZ92" s="5">
        <f>AY92 * (1+Вводные!AZ109)</f>
        <v>3.4606958935318217</v>
      </c>
      <c r="BA92" s="5">
        <f>AZ92 * (1+Вводные!BA109)</f>
        <v>3.5645167703377765</v>
      </c>
      <c r="BB92" s="5">
        <f>BA92 * (1+Вводные!BB109)</f>
        <v>3.67145227344791</v>
      </c>
      <c r="BC92" s="5">
        <f>BB92 * (1+Вводные!BC109)</f>
        <v>3.7815958416513475</v>
      </c>
      <c r="BD92" s="5">
        <f>BC92 * (1+Вводные!BD109)</f>
        <v>3.8950437169008882</v>
      </c>
      <c r="BE92" s="5">
        <f>BD92 * (1+Вводные!BE109)</f>
        <v>4.0118950284079151</v>
      </c>
      <c r="BF92" s="5">
        <f>BE92 * (1+Вводные!BF109)</f>
        <v>4.1322518792601528</v>
      </c>
      <c r="BG92" s="5">
        <f>BF92 * (1+Вводные!BG109)</f>
        <v>4.2562194356379575</v>
      </c>
      <c r="BH92" s="5">
        <f>BG92 * (1+Вводные!BH109)</f>
        <v>4.383906018707096</v>
      </c>
      <c r="BI92" s="5">
        <f>BH92 * (1+Вводные!BI109)</f>
        <v>4.5154231992683087</v>
      </c>
      <c r="BJ92" s="5">
        <f>BI92 * (1+Вводные!BJ109)</f>
        <v>4.6508858952463576</v>
      </c>
    </row>
    <row r="93" spans="3:62" x14ac:dyDescent="0.15">
      <c r="D93" s="9" t="str">
        <f>Вводные!$D$110</f>
        <v>Темп роста Ежемесячный расход 19</v>
      </c>
      <c r="E93" s="12" t="s">
        <v>4</v>
      </c>
      <c r="I93" s="23">
        <v>1</v>
      </c>
      <c r="J93" s="5">
        <f>I93 * (1+Вводные!J110)</f>
        <v>1</v>
      </c>
      <c r="K93" s="5">
        <f>J93 * (1+Вводные!K110)</f>
        <v>1.03</v>
      </c>
      <c r="L93" s="5">
        <f>K93 * (1+Вводные!L110)</f>
        <v>1.0609</v>
      </c>
      <c r="M93" s="5">
        <f>L93 * (1+Вводные!M110)</f>
        <v>1.092727</v>
      </c>
      <c r="N93" s="5">
        <f>M93 * (1+Вводные!N110)</f>
        <v>1.1255088100000001</v>
      </c>
      <c r="O93" s="5">
        <f>N93 * (1+Вводные!O110)</f>
        <v>1.1592740743000001</v>
      </c>
      <c r="P93" s="5">
        <f>O93 * (1+Вводные!P110)</f>
        <v>1.1940522965290001</v>
      </c>
      <c r="Q93" s="5">
        <f>P93 * (1+Вводные!Q110)</f>
        <v>1.2298738654248702</v>
      </c>
      <c r="R93" s="5">
        <f>Q93 * (1+Вводные!R110)</f>
        <v>1.2667700813876164</v>
      </c>
      <c r="S93" s="5">
        <f>R93 * (1+Вводные!S110)</f>
        <v>1.3047731838292449</v>
      </c>
      <c r="T93" s="5">
        <f>S93 * (1+Вводные!T110)</f>
        <v>1.3439163793441222</v>
      </c>
      <c r="U93" s="5">
        <f>T93 * (1+Вводные!U110)</f>
        <v>1.3842338707244459</v>
      </c>
      <c r="V93" s="5">
        <f>U93 * (1+Вводные!V110)</f>
        <v>1.4257608868461793</v>
      </c>
      <c r="W93" s="5">
        <f>V93 * (1+Вводные!W110)</f>
        <v>1.4685337134515648</v>
      </c>
      <c r="X93" s="5">
        <f>W93 * (1+Вводные!X110)</f>
        <v>1.5125897248551119</v>
      </c>
      <c r="Y93" s="5">
        <f>X93 * (1+Вводные!Y110)</f>
        <v>1.5579674166007653</v>
      </c>
      <c r="Z93" s="5">
        <f>Y93 * (1+Вводные!Z110)</f>
        <v>1.6047064390987884</v>
      </c>
      <c r="AA93" s="5">
        <f>Z93 * (1+Вводные!AA110)</f>
        <v>1.652847632271752</v>
      </c>
      <c r="AB93" s="5">
        <f>AA93 * (1+Вводные!AB110)</f>
        <v>1.7024330612399046</v>
      </c>
      <c r="AC93" s="5">
        <f>AB93 * (1+Вводные!AC110)</f>
        <v>1.7535060530771018</v>
      </c>
      <c r="AD93" s="5">
        <f>AC93 * (1+Вводные!AD110)</f>
        <v>1.806111234669415</v>
      </c>
      <c r="AE93" s="5">
        <f>AD93 * (1+Вводные!AE110)</f>
        <v>1.8602945717094976</v>
      </c>
      <c r="AF93" s="5">
        <f>AE93 * (1+Вводные!AF110)</f>
        <v>1.9161034088607827</v>
      </c>
      <c r="AG93" s="5">
        <f>AF93 * (1+Вводные!AG110)</f>
        <v>1.9735865111266062</v>
      </c>
      <c r="AH93" s="5">
        <f>AG93 * (1+Вводные!AH110)</f>
        <v>2.0327941064604045</v>
      </c>
      <c r="AI93" s="5">
        <f>AH93 * (1+Вводные!AI110)</f>
        <v>2.0937779296542165</v>
      </c>
      <c r="AJ93" s="5">
        <f>AI93 * (1+Вводные!AJ110)</f>
        <v>2.1565912675438432</v>
      </c>
      <c r="AK93" s="5">
        <f>AJ93 * (1+Вводные!AK110)</f>
        <v>2.2212890055701586</v>
      </c>
      <c r="AL93" s="5">
        <f>AK93 * (1+Вводные!AL110)</f>
        <v>2.2879276757372633</v>
      </c>
      <c r="AM93" s="5">
        <f>AL93 * (1+Вводные!AM110)</f>
        <v>2.3565655060093813</v>
      </c>
      <c r="AN93" s="5">
        <f>AM93 * (1+Вводные!AN110)</f>
        <v>2.4272624711896627</v>
      </c>
      <c r="AO93" s="5">
        <f>AN93 * (1+Вводные!AO110)</f>
        <v>2.5000803453253524</v>
      </c>
      <c r="AP93" s="5">
        <f>AO93 * (1+Вводные!AP110)</f>
        <v>2.5750827556851132</v>
      </c>
      <c r="AQ93" s="5">
        <f>AP93 * (1+Вводные!AQ110)</f>
        <v>2.6523352383556666</v>
      </c>
      <c r="AR93" s="5">
        <f>AQ93 * (1+Вводные!AR110)</f>
        <v>2.7319052955063365</v>
      </c>
      <c r="AS93" s="5">
        <f>AR93 * (1+Вводные!AS110)</f>
        <v>2.8138624543715265</v>
      </c>
      <c r="AT93" s="5">
        <f>AS93 * (1+Вводные!AT110)</f>
        <v>2.8982783280026725</v>
      </c>
      <c r="AU93" s="5">
        <f>AT93 * (1+Вводные!AU110)</f>
        <v>2.9852266778427525</v>
      </c>
      <c r="AV93" s="5">
        <f>AU93 * (1+Вводные!AV110)</f>
        <v>3.074783478178035</v>
      </c>
      <c r="AW93" s="5">
        <f>AV93 * (1+Вводные!AW110)</f>
        <v>3.1670269825233763</v>
      </c>
      <c r="AX93" s="5">
        <f>AW93 * (1+Вводные!AX110)</f>
        <v>3.2620377919990777</v>
      </c>
      <c r="AY93" s="5">
        <f>AX93 * (1+Вводные!AY110)</f>
        <v>3.3598989257590501</v>
      </c>
      <c r="AZ93" s="5">
        <f>AY93 * (1+Вводные!AZ110)</f>
        <v>3.4606958935318217</v>
      </c>
      <c r="BA93" s="5">
        <f>AZ93 * (1+Вводные!BA110)</f>
        <v>3.5645167703377765</v>
      </c>
      <c r="BB93" s="5">
        <f>BA93 * (1+Вводные!BB110)</f>
        <v>3.67145227344791</v>
      </c>
      <c r="BC93" s="5">
        <f>BB93 * (1+Вводные!BC110)</f>
        <v>3.7815958416513475</v>
      </c>
      <c r="BD93" s="5">
        <f>BC93 * (1+Вводные!BD110)</f>
        <v>3.8950437169008882</v>
      </c>
      <c r="BE93" s="5">
        <f>BD93 * (1+Вводные!BE110)</f>
        <v>4.0118950284079151</v>
      </c>
      <c r="BF93" s="5">
        <f>BE93 * (1+Вводные!BF110)</f>
        <v>4.1322518792601528</v>
      </c>
      <c r="BG93" s="5">
        <f>BF93 * (1+Вводные!BG110)</f>
        <v>4.2562194356379575</v>
      </c>
      <c r="BH93" s="5">
        <f>BG93 * (1+Вводные!BH110)</f>
        <v>4.383906018707096</v>
      </c>
      <c r="BI93" s="5">
        <f>BH93 * (1+Вводные!BI110)</f>
        <v>4.5154231992683087</v>
      </c>
      <c r="BJ93" s="5">
        <f>BI93 * (1+Вводные!BJ110)</f>
        <v>4.6508858952463576</v>
      </c>
    </row>
    <row r="94" spans="3:62" x14ac:dyDescent="0.15">
      <c r="D94" s="9" t="str">
        <f>Вводные!$D$111</f>
        <v>Темп роста Ежемесячный расход 20</v>
      </c>
      <c r="E94" s="12" t="s">
        <v>4</v>
      </c>
      <c r="I94" s="23">
        <v>1</v>
      </c>
      <c r="J94" s="5">
        <f>I94 * (1+Вводные!J111)</f>
        <v>1</v>
      </c>
      <c r="K94" s="5">
        <f>J94 * (1+Вводные!K111)</f>
        <v>1.03</v>
      </c>
      <c r="L94" s="5">
        <f>K94 * (1+Вводные!L111)</f>
        <v>1.0609</v>
      </c>
      <c r="M94" s="5">
        <f>L94 * (1+Вводные!M111)</f>
        <v>1.092727</v>
      </c>
      <c r="N94" s="5">
        <f>M94 * (1+Вводные!N111)</f>
        <v>1.1255088100000001</v>
      </c>
      <c r="O94" s="5">
        <f>N94 * (1+Вводные!O111)</f>
        <v>1.1592740743000001</v>
      </c>
      <c r="P94" s="5">
        <f>O94 * (1+Вводные!P111)</f>
        <v>1.1940522965290001</v>
      </c>
      <c r="Q94" s="5">
        <f>P94 * (1+Вводные!Q111)</f>
        <v>1.2298738654248702</v>
      </c>
      <c r="R94" s="5">
        <f>Q94 * (1+Вводные!R111)</f>
        <v>1.2667700813876164</v>
      </c>
      <c r="S94" s="5">
        <f>R94 * (1+Вводные!S111)</f>
        <v>1.3047731838292449</v>
      </c>
      <c r="T94" s="5">
        <f>S94 * (1+Вводные!T111)</f>
        <v>1.3439163793441222</v>
      </c>
      <c r="U94" s="5">
        <f>T94 * (1+Вводные!U111)</f>
        <v>1.3842338707244459</v>
      </c>
      <c r="V94" s="5">
        <f>U94 * (1+Вводные!V111)</f>
        <v>1.4257608868461793</v>
      </c>
      <c r="W94" s="5">
        <f>V94 * (1+Вводные!W111)</f>
        <v>1.4685337134515648</v>
      </c>
      <c r="X94" s="5">
        <f>W94 * (1+Вводные!X111)</f>
        <v>1.5125897248551119</v>
      </c>
      <c r="Y94" s="5">
        <f>X94 * (1+Вводные!Y111)</f>
        <v>1.5579674166007653</v>
      </c>
      <c r="Z94" s="5">
        <f>Y94 * (1+Вводные!Z111)</f>
        <v>1.6047064390987884</v>
      </c>
      <c r="AA94" s="5">
        <f>Z94 * (1+Вводные!AA111)</f>
        <v>1.652847632271752</v>
      </c>
      <c r="AB94" s="5">
        <f>AA94 * (1+Вводные!AB111)</f>
        <v>1.7024330612399046</v>
      </c>
      <c r="AC94" s="5">
        <f>AB94 * (1+Вводные!AC111)</f>
        <v>1.7535060530771018</v>
      </c>
      <c r="AD94" s="5">
        <f>AC94 * (1+Вводные!AD111)</f>
        <v>1.806111234669415</v>
      </c>
      <c r="AE94" s="5">
        <f>AD94 * (1+Вводные!AE111)</f>
        <v>1.8602945717094976</v>
      </c>
      <c r="AF94" s="5">
        <f>AE94 * (1+Вводные!AF111)</f>
        <v>1.9161034088607827</v>
      </c>
      <c r="AG94" s="5">
        <f>AF94 * (1+Вводные!AG111)</f>
        <v>1.9735865111266062</v>
      </c>
      <c r="AH94" s="5">
        <f>AG94 * (1+Вводные!AH111)</f>
        <v>2.0327941064604045</v>
      </c>
      <c r="AI94" s="5">
        <f>AH94 * (1+Вводные!AI111)</f>
        <v>2.0937779296542165</v>
      </c>
      <c r="AJ94" s="5">
        <f>AI94 * (1+Вводные!AJ111)</f>
        <v>2.1565912675438432</v>
      </c>
      <c r="AK94" s="5">
        <f>AJ94 * (1+Вводные!AK111)</f>
        <v>2.2212890055701586</v>
      </c>
      <c r="AL94" s="5">
        <f>AK94 * (1+Вводные!AL111)</f>
        <v>2.2879276757372633</v>
      </c>
      <c r="AM94" s="5">
        <f>AL94 * (1+Вводные!AM111)</f>
        <v>2.3565655060093813</v>
      </c>
      <c r="AN94" s="5">
        <f>AM94 * (1+Вводные!AN111)</f>
        <v>2.4272624711896627</v>
      </c>
      <c r="AO94" s="5">
        <f>AN94 * (1+Вводные!AO111)</f>
        <v>2.5000803453253524</v>
      </c>
      <c r="AP94" s="5">
        <f>AO94 * (1+Вводные!AP111)</f>
        <v>2.5750827556851132</v>
      </c>
      <c r="AQ94" s="5">
        <f>AP94 * (1+Вводные!AQ111)</f>
        <v>2.6523352383556666</v>
      </c>
      <c r="AR94" s="5">
        <f>AQ94 * (1+Вводные!AR111)</f>
        <v>2.7319052955063365</v>
      </c>
      <c r="AS94" s="5">
        <f>AR94 * (1+Вводные!AS111)</f>
        <v>2.8138624543715265</v>
      </c>
      <c r="AT94" s="5">
        <f>AS94 * (1+Вводные!AT111)</f>
        <v>2.8982783280026725</v>
      </c>
      <c r="AU94" s="5">
        <f>AT94 * (1+Вводные!AU111)</f>
        <v>2.9852266778427525</v>
      </c>
      <c r="AV94" s="5">
        <f>AU94 * (1+Вводные!AV111)</f>
        <v>3.074783478178035</v>
      </c>
      <c r="AW94" s="5">
        <f>AV94 * (1+Вводные!AW111)</f>
        <v>3.1670269825233763</v>
      </c>
      <c r="AX94" s="5">
        <f>AW94 * (1+Вводные!AX111)</f>
        <v>3.2620377919990777</v>
      </c>
      <c r="AY94" s="5">
        <f>AX94 * (1+Вводные!AY111)</f>
        <v>3.3598989257590501</v>
      </c>
      <c r="AZ94" s="5">
        <f>AY94 * (1+Вводные!AZ111)</f>
        <v>3.4606958935318217</v>
      </c>
      <c r="BA94" s="5">
        <f>AZ94 * (1+Вводные!BA111)</f>
        <v>3.5645167703377765</v>
      </c>
      <c r="BB94" s="5">
        <f>BA94 * (1+Вводные!BB111)</f>
        <v>3.67145227344791</v>
      </c>
      <c r="BC94" s="5">
        <f>BB94 * (1+Вводные!BC111)</f>
        <v>3.7815958416513475</v>
      </c>
      <c r="BD94" s="5">
        <f>BC94 * (1+Вводные!BD111)</f>
        <v>3.8950437169008882</v>
      </c>
      <c r="BE94" s="5">
        <f>BD94 * (1+Вводные!BE111)</f>
        <v>4.0118950284079151</v>
      </c>
      <c r="BF94" s="5">
        <f>BE94 * (1+Вводные!BF111)</f>
        <v>4.1322518792601528</v>
      </c>
      <c r="BG94" s="5">
        <f>BF94 * (1+Вводные!BG111)</f>
        <v>4.2562194356379575</v>
      </c>
      <c r="BH94" s="5">
        <f>BG94 * (1+Вводные!BH111)</f>
        <v>4.383906018707096</v>
      </c>
      <c r="BI94" s="5">
        <f>BH94 * (1+Вводные!BI111)</f>
        <v>4.5154231992683087</v>
      </c>
      <c r="BJ94" s="5">
        <f>BI94 * (1+Вводные!BJ111)</f>
        <v>4.6508858952463576</v>
      </c>
    </row>
    <row r="95" spans="3:62" x14ac:dyDescent="0.15">
      <c r="E95" s="12"/>
    </row>
    <row r="96" spans="3:62" x14ac:dyDescent="0.15">
      <c r="C96" s="2">
        <f>MAX( $B$7:C95 ) + 0.1</f>
        <v>2.2000000000000002</v>
      </c>
      <c r="D96" s="2" t="s">
        <v>17</v>
      </c>
      <c r="E96" s="14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</row>
    <row r="97" spans="4:62" x14ac:dyDescent="0.15">
      <c r="E97" s="12"/>
    </row>
    <row r="98" spans="4:62" ht="12" thickBot="1" x14ac:dyDescent="0.2">
      <c r="D98" s="8" t="s">
        <v>17</v>
      </c>
      <c r="E98" s="15" t="s">
        <v>110</v>
      </c>
      <c r="I98" s="24">
        <f t="shared" ref="I98:AN98" si="23">SUM(I99:I108)</f>
        <v>-21000</v>
      </c>
      <c r="J98" s="7">
        <f t="shared" si="23"/>
        <v>-21000</v>
      </c>
      <c r="K98" s="7">
        <f t="shared" si="23"/>
        <v>-21360</v>
      </c>
      <c r="L98" s="7">
        <f t="shared" si="23"/>
        <v>-18730.8</v>
      </c>
      <c r="M98" s="7">
        <f t="shared" si="23"/>
        <v>-19112.724000000002</v>
      </c>
      <c r="N98" s="7">
        <f t="shared" si="23"/>
        <v>-19506.10572</v>
      </c>
      <c r="O98" s="7">
        <f t="shared" si="23"/>
        <v>-16911.288891600001</v>
      </c>
      <c r="P98" s="7">
        <f t="shared" si="23"/>
        <v>-17328.627558348002</v>
      </c>
      <c r="Q98" s="7">
        <f t="shared" si="23"/>
        <v>-17758.48638509844</v>
      </c>
      <c r="R98" s="7">
        <f t="shared" si="23"/>
        <v>-18201.240976651396</v>
      </c>
      <c r="S98" s="7">
        <f t="shared" si="23"/>
        <v>-18657.278205950941</v>
      </c>
      <c r="T98" s="7">
        <f t="shared" si="23"/>
        <v>-19126.996552129465</v>
      </c>
      <c r="U98" s="7">
        <f t="shared" si="23"/>
        <v>-19610.806448693351</v>
      </c>
      <c r="V98" s="7">
        <f t="shared" si="23"/>
        <v>-20109.130642154152</v>
      </c>
      <c r="W98" s="7">
        <f t="shared" si="23"/>
        <v>-20622.404561418778</v>
      </c>
      <c r="X98" s="7">
        <f t="shared" si="23"/>
        <v>-21151.076698261342</v>
      </c>
      <c r="Y98" s="7">
        <f t="shared" si="23"/>
        <v>-21695.608999209184</v>
      </c>
      <c r="Z98" s="7">
        <f t="shared" si="23"/>
        <v>-22256.47726918546</v>
      </c>
      <c r="AA98" s="7">
        <f t="shared" si="23"/>
        <v>-17875.62869044577</v>
      </c>
      <c r="AB98" s="7">
        <f t="shared" si="23"/>
        <v>-18321.897551159142</v>
      </c>
      <c r="AC98" s="7">
        <f t="shared" si="23"/>
        <v>-18781.554477693917</v>
      </c>
      <c r="AD98" s="7">
        <f t="shared" si="23"/>
        <v>-19255.001112024733</v>
      </c>
      <c r="AE98" s="7">
        <f t="shared" si="23"/>
        <v>-19742.65114538548</v>
      </c>
      <c r="AF98" s="7">
        <f t="shared" si="23"/>
        <v>-20244.930679747042</v>
      </c>
      <c r="AG98" s="7">
        <f t="shared" si="23"/>
        <v>-20762.27860013946</v>
      </c>
      <c r="AH98" s="7">
        <f t="shared" si="23"/>
        <v>-21295.146958143639</v>
      </c>
      <c r="AI98" s="7">
        <f t="shared" si="23"/>
        <v>-21844.001366887947</v>
      </c>
      <c r="AJ98" s="7">
        <f t="shared" si="23"/>
        <v>-22409.321407894593</v>
      </c>
      <c r="AK98" s="7">
        <f t="shared" si="23"/>
        <v>-19991.601050131427</v>
      </c>
      <c r="AL98" s="7">
        <f t="shared" si="23"/>
        <v>-20591.34908163537</v>
      </c>
      <c r="AM98" s="7">
        <f t="shared" si="23"/>
        <v>-21209.089554084432</v>
      </c>
      <c r="AN98" s="7">
        <f t="shared" si="23"/>
        <v>-21845.362240706963</v>
      </c>
      <c r="AO98" s="7">
        <f t="shared" ref="AO98:BJ98" si="24">SUM(AO99:AO108)</f>
        <v>-22500.72310792817</v>
      </c>
      <c r="AP98" s="7">
        <f t="shared" si="24"/>
        <v>-23175.74480116602</v>
      </c>
      <c r="AQ98" s="7">
        <f t="shared" si="24"/>
        <v>-23871.017145201</v>
      </c>
      <c r="AR98" s="7">
        <f t="shared" si="24"/>
        <v>-24587.147659557031</v>
      </c>
      <c r="AS98" s="7">
        <f t="shared" si="24"/>
        <v>-25324.762089343734</v>
      </c>
      <c r="AT98" s="7">
        <f t="shared" si="24"/>
        <v>-26084.50495202405</v>
      </c>
      <c r="AU98" s="7">
        <f t="shared" si="24"/>
        <v>-26867.040100584771</v>
      </c>
      <c r="AV98" s="7">
        <f t="shared" si="24"/>
        <v>-27673.051303602311</v>
      </c>
      <c r="AW98" s="7">
        <f t="shared" si="24"/>
        <v>-28503.242842710388</v>
      </c>
      <c r="AX98" s="7">
        <f t="shared" si="24"/>
        <v>-29358.340127991698</v>
      </c>
      <c r="AY98" s="7">
        <f t="shared" si="24"/>
        <v>-30239.090331831449</v>
      </c>
      <c r="AZ98" s="7">
        <f t="shared" si="24"/>
        <v>-31146.263041786395</v>
      </c>
      <c r="BA98" s="7">
        <f t="shared" si="24"/>
        <v>-32080.650933039986</v>
      </c>
      <c r="BB98" s="7">
        <f t="shared" si="24"/>
        <v>-33043.070461031188</v>
      </c>
      <c r="BC98" s="7">
        <f t="shared" si="24"/>
        <v>-34034.362574862127</v>
      </c>
      <c r="BD98" s="7">
        <f t="shared" si="24"/>
        <v>-35055.393452107994</v>
      </c>
      <c r="BE98" s="7">
        <f t="shared" si="24"/>
        <v>-36107.055255671235</v>
      </c>
      <c r="BF98" s="7">
        <f t="shared" si="24"/>
        <v>-37190.266913341373</v>
      </c>
      <c r="BG98" s="7">
        <f t="shared" si="24"/>
        <v>-38305.974920741617</v>
      </c>
      <c r="BH98" s="7">
        <f t="shared" si="24"/>
        <v>-39455.154168363864</v>
      </c>
      <c r="BI98" s="7">
        <f t="shared" si="24"/>
        <v>-40638.808793414777</v>
      </c>
      <c r="BJ98" s="7">
        <f t="shared" si="24"/>
        <v>-41857.973057217219</v>
      </c>
    </row>
    <row r="99" spans="4:62" ht="12" thickTop="1" x14ac:dyDescent="0.15">
      <c r="D99" s="11" t="str">
        <f>Вводные!$D$116</f>
        <v>Страховка</v>
      </c>
      <c r="E99" s="12" t="s">
        <v>110</v>
      </c>
      <c r="I99" s="22">
        <f>Вводные!F116</f>
        <v>-3000</v>
      </c>
      <c r="J99" s="3">
        <f>$I99 * J111 * J35</f>
        <v>-3000</v>
      </c>
      <c r="K99" s="3">
        <f t="shared" ref="K99:BJ99" si="25">$I99 * K111 * K35</f>
        <v>-3090</v>
      </c>
      <c r="L99" s="3">
        <f t="shared" si="25"/>
        <v>-3182.7</v>
      </c>
      <c r="M99" s="3">
        <f t="shared" si="25"/>
        <v>-3278.181</v>
      </c>
      <c r="N99" s="3">
        <f t="shared" si="25"/>
        <v>-3376.5264300000003</v>
      </c>
      <c r="O99" s="3">
        <f t="shared" si="25"/>
        <v>-3477.8222229000003</v>
      </c>
      <c r="P99" s="3">
        <f t="shared" si="25"/>
        <v>-3582.1568895870005</v>
      </c>
      <c r="Q99" s="3">
        <f t="shared" si="25"/>
        <v>-3689.6215962746105</v>
      </c>
      <c r="R99" s="3">
        <f t="shared" si="25"/>
        <v>-3800.3102441628489</v>
      </c>
      <c r="S99" s="3">
        <f t="shared" si="25"/>
        <v>-3914.3195514877348</v>
      </c>
      <c r="T99" s="3">
        <f t="shared" si="25"/>
        <v>-4031.7491380323668</v>
      </c>
      <c r="U99" s="3">
        <f t="shared" si="25"/>
        <v>-4152.7016121733377</v>
      </c>
      <c r="V99" s="3">
        <f t="shared" si="25"/>
        <v>-4277.282660538538</v>
      </c>
      <c r="W99" s="3">
        <f t="shared" si="25"/>
        <v>-4405.6011403546945</v>
      </c>
      <c r="X99" s="3">
        <f t="shared" si="25"/>
        <v>-4537.7691745653356</v>
      </c>
      <c r="Y99" s="3">
        <f t="shared" si="25"/>
        <v>-4673.902249802296</v>
      </c>
      <c r="Z99" s="3">
        <f t="shared" si="25"/>
        <v>-4814.1193172963649</v>
      </c>
      <c r="AA99" s="3">
        <f t="shared" si="25"/>
        <v>-4958.5428968152564</v>
      </c>
      <c r="AB99" s="3">
        <f t="shared" si="25"/>
        <v>-5107.2991837197133</v>
      </c>
      <c r="AC99" s="3">
        <f t="shared" si="25"/>
        <v>-5260.5181592313056</v>
      </c>
      <c r="AD99" s="3">
        <f t="shared" si="25"/>
        <v>-5418.3337040082451</v>
      </c>
      <c r="AE99" s="3">
        <f t="shared" si="25"/>
        <v>-5580.8837151284933</v>
      </c>
      <c r="AF99" s="3">
        <f t="shared" si="25"/>
        <v>-5748.3102265823482</v>
      </c>
      <c r="AG99" s="3">
        <f t="shared" si="25"/>
        <v>-5920.759533379819</v>
      </c>
      <c r="AH99" s="3">
        <f t="shared" si="25"/>
        <v>-6098.3823193812132</v>
      </c>
      <c r="AI99" s="3">
        <f t="shared" si="25"/>
        <v>-6281.3337889626491</v>
      </c>
      <c r="AJ99" s="3">
        <f t="shared" si="25"/>
        <v>-6469.7738026315301</v>
      </c>
      <c r="AK99" s="3">
        <f t="shared" si="25"/>
        <v>-6663.8670167104756</v>
      </c>
      <c r="AL99" s="3">
        <f t="shared" si="25"/>
        <v>-6863.7830272117899</v>
      </c>
      <c r="AM99" s="3">
        <f t="shared" si="25"/>
        <v>-7069.6965180281441</v>
      </c>
      <c r="AN99" s="3">
        <f t="shared" si="25"/>
        <v>-7281.7874135689881</v>
      </c>
      <c r="AO99" s="3">
        <f t="shared" si="25"/>
        <v>-7500.241035976057</v>
      </c>
      <c r="AP99" s="3">
        <f t="shared" si="25"/>
        <v>-7725.24826705534</v>
      </c>
      <c r="AQ99" s="3">
        <f t="shared" si="25"/>
        <v>-7957.005715067</v>
      </c>
      <c r="AR99" s="3">
        <f t="shared" si="25"/>
        <v>-8195.7158865190104</v>
      </c>
      <c r="AS99" s="3">
        <f t="shared" si="25"/>
        <v>-8441.5873631145787</v>
      </c>
      <c r="AT99" s="3">
        <f t="shared" si="25"/>
        <v>-8694.8349840080173</v>
      </c>
      <c r="AU99" s="3">
        <f t="shared" si="25"/>
        <v>-8955.6800335282569</v>
      </c>
      <c r="AV99" s="3">
        <f t="shared" si="25"/>
        <v>-9224.3504345341044</v>
      </c>
      <c r="AW99" s="3">
        <f t="shared" si="25"/>
        <v>-9501.0809475701299</v>
      </c>
      <c r="AX99" s="3">
        <f t="shared" si="25"/>
        <v>-9786.1133759972327</v>
      </c>
      <c r="AY99" s="3">
        <f t="shared" si="25"/>
        <v>-10079.69677727715</v>
      </c>
      <c r="AZ99" s="3">
        <f t="shared" si="25"/>
        <v>-10382.087680595465</v>
      </c>
      <c r="BA99" s="3">
        <f t="shared" si="25"/>
        <v>-10693.550311013329</v>
      </c>
      <c r="BB99" s="3">
        <f t="shared" si="25"/>
        <v>-11014.35682034373</v>
      </c>
      <c r="BC99" s="3">
        <f t="shared" si="25"/>
        <v>-11344.787524954043</v>
      </c>
      <c r="BD99" s="3">
        <f t="shared" si="25"/>
        <v>-11685.131150702664</v>
      </c>
      <c r="BE99" s="3">
        <f t="shared" si="25"/>
        <v>-12035.685085223746</v>
      </c>
      <c r="BF99" s="3">
        <f t="shared" si="25"/>
        <v>-12396.755637780458</v>
      </c>
      <c r="BG99" s="3">
        <f t="shared" si="25"/>
        <v>-12768.658306913872</v>
      </c>
      <c r="BH99" s="3">
        <f t="shared" si="25"/>
        <v>-13151.718056121288</v>
      </c>
      <c r="BI99" s="3">
        <f t="shared" si="25"/>
        <v>-13546.269597804927</v>
      </c>
      <c r="BJ99" s="3">
        <f t="shared" si="25"/>
        <v>-13952.657685739074</v>
      </c>
    </row>
    <row r="100" spans="4:62" x14ac:dyDescent="0.15">
      <c r="D100" s="11" t="str">
        <f>Вводные!$D$117</f>
        <v>Детский сад / школа</v>
      </c>
      <c r="E100" s="12" t="s">
        <v>110</v>
      </c>
      <c r="I100" s="20">
        <f>Вводные!F117</f>
        <v>-3000</v>
      </c>
      <c r="J100" s="3">
        <f t="shared" ref="J100:BJ100" si="26">$I100 * J112 * J36</f>
        <v>-3000</v>
      </c>
      <c r="K100" s="3">
        <f t="shared" si="26"/>
        <v>-3090</v>
      </c>
      <c r="L100" s="3">
        <f t="shared" si="26"/>
        <v>-3182.7</v>
      </c>
      <c r="M100" s="3">
        <f t="shared" si="26"/>
        <v>-3278.181</v>
      </c>
      <c r="N100" s="3">
        <f t="shared" si="26"/>
        <v>-3376.5264300000003</v>
      </c>
      <c r="O100" s="3">
        <f t="shared" si="26"/>
        <v>-3477.8222229000003</v>
      </c>
      <c r="P100" s="3">
        <f t="shared" si="26"/>
        <v>-3582.1568895870005</v>
      </c>
      <c r="Q100" s="3">
        <f t="shared" si="26"/>
        <v>-3689.6215962746105</v>
      </c>
      <c r="R100" s="3">
        <f t="shared" si="26"/>
        <v>-3800.3102441628489</v>
      </c>
      <c r="S100" s="3">
        <f t="shared" si="26"/>
        <v>-3914.3195514877348</v>
      </c>
      <c r="T100" s="3">
        <f t="shared" si="26"/>
        <v>-4031.7491380323668</v>
      </c>
      <c r="U100" s="3">
        <f t="shared" si="26"/>
        <v>-4152.7016121733377</v>
      </c>
      <c r="V100" s="3">
        <f t="shared" si="26"/>
        <v>-4277.282660538538</v>
      </c>
      <c r="W100" s="3">
        <f t="shared" si="26"/>
        <v>-4405.6011403546945</v>
      </c>
      <c r="X100" s="3">
        <f t="shared" si="26"/>
        <v>-4537.7691745653356</v>
      </c>
      <c r="Y100" s="3">
        <f t="shared" si="26"/>
        <v>-4673.902249802296</v>
      </c>
      <c r="Z100" s="3">
        <f t="shared" si="26"/>
        <v>-4814.1193172963649</v>
      </c>
      <c r="AA100" s="3">
        <f t="shared" si="26"/>
        <v>0</v>
      </c>
      <c r="AB100" s="3">
        <f t="shared" si="26"/>
        <v>0</v>
      </c>
      <c r="AC100" s="3">
        <f t="shared" si="26"/>
        <v>0</v>
      </c>
      <c r="AD100" s="3">
        <f t="shared" si="26"/>
        <v>0</v>
      </c>
      <c r="AE100" s="3">
        <f t="shared" si="26"/>
        <v>0</v>
      </c>
      <c r="AF100" s="3">
        <f t="shared" si="26"/>
        <v>0</v>
      </c>
      <c r="AG100" s="3">
        <f t="shared" si="26"/>
        <v>0</v>
      </c>
      <c r="AH100" s="3">
        <f t="shared" si="26"/>
        <v>0</v>
      </c>
      <c r="AI100" s="3">
        <f t="shared" si="26"/>
        <v>0</v>
      </c>
      <c r="AJ100" s="3">
        <f t="shared" si="26"/>
        <v>0</v>
      </c>
      <c r="AK100" s="3">
        <f t="shared" si="26"/>
        <v>0</v>
      </c>
      <c r="AL100" s="3">
        <f t="shared" si="26"/>
        <v>0</v>
      </c>
      <c r="AM100" s="3">
        <f t="shared" si="26"/>
        <v>0</v>
      </c>
      <c r="AN100" s="3">
        <f t="shared" si="26"/>
        <v>0</v>
      </c>
      <c r="AO100" s="3">
        <f t="shared" si="26"/>
        <v>0</v>
      </c>
      <c r="AP100" s="3">
        <f t="shared" si="26"/>
        <v>0</v>
      </c>
      <c r="AQ100" s="3">
        <f t="shared" si="26"/>
        <v>0</v>
      </c>
      <c r="AR100" s="3">
        <f t="shared" si="26"/>
        <v>0</v>
      </c>
      <c r="AS100" s="3">
        <f t="shared" si="26"/>
        <v>0</v>
      </c>
      <c r="AT100" s="3">
        <f t="shared" si="26"/>
        <v>0</v>
      </c>
      <c r="AU100" s="3">
        <f t="shared" si="26"/>
        <v>0</v>
      </c>
      <c r="AV100" s="3">
        <f t="shared" si="26"/>
        <v>0</v>
      </c>
      <c r="AW100" s="3">
        <f t="shared" si="26"/>
        <v>0</v>
      </c>
      <c r="AX100" s="3">
        <f t="shared" si="26"/>
        <v>0</v>
      </c>
      <c r="AY100" s="3">
        <f t="shared" si="26"/>
        <v>0</v>
      </c>
      <c r="AZ100" s="3">
        <f t="shared" si="26"/>
        <v>0</v>
      </c>
      <c r="BA100" s="3">
        <f t="shared" si="26"/>
        <v>0</v>
      </c>
      <c r="BB100" s="3">
        <f t="shared" si="26"/>
        <v>0</v>
      </c>
      <c r="BC100" s="3">
        <f t="shared" si="26"/>
        <v>0</v>
      </c>
      <c r="BD100" s="3">
        <f t="shared" si="26"/>
        <v>0</v>
      </c>
      <c r="BE100" s="3">
        <f t="shared" si="26"/>
        <v>0</v>
      </c>
      <c r="BF100" s="3">
        <f t="shared" si="26"/>
        <v>0</v>
      </c>
      <c r="BG100" s="3">
        <f t="shared" si="26"/>
        <v>0</v>
      </c>
      <c r="BH100" s="3">
        <f t="shared" si="26"/>
        <v>0</v>
      </c>
      <c r="BI100" s="3">
        <f t="shared" si="26"/>
        <v>0</v>
      </c>
      <c r="BJ100" s="3">
        <f t="shared" si="26"/>
        <v>0</v>
      </c>
    </row>
    <row r="101" spans="4:62" x14ac:dyDescent="0.15">
      <c r="D101" s="11" t="str">
        <f>Вводные!$D$118</f>
        <v>Страховка по ипотеке</v>
      </c>
      <c r="E101" s="12" t="s">
        <v>110</v>
      </c>
      <c r="I101" s="20">
        <f>Вводные!F118</f>
        <v>-3000</v>
      </c>
      <c r="J101" s="3">
        <f t="shared" ref="J101:BJ101" si="27">$I101 * J113 * J37</f>
        <v>-3000</v>
      </c>
      <c r="K101" s="3">
        <f t="shared" si="27"/>
        <v>-3000</v>
      </c>
      <c r="L101" s="3">
        <f t="shared" si="27"/>
        <v>-3000</v>
      </c>
      <c r="M101" s="3">
        <f t="shared" si="27"/>
        <v>-3000</v>
      </c>
      <c r="N101" s="3">
        <f t="shared" si="27"/>
        <v>-3000</v>
      </c>
      <c r="O101" s="3">
        <f t="shared" si="27"/>
        <v>-3000</v>
      </c>
      <c r="P101" s="3">
        <f t="shared" si="27"/>
        <v>-3000</v>
      </c>
      <c r="Q101" s="3">
        <f t="shared" si="27"/>
        <v>-3000</v>
      </c>
      <c r="R101" s="3">
        <f t="shared" si="27"/>
        <v>-3000</v>
      </c>
      <c r="S101" s="3">
        <f t="shared" si="27"/>
        <v>-3000</v>
      </c>
      <c r="T101" s="3">
        <f t="shared" si="27"/>
        <v>-3000</v>
      </c>
      <c r="U101" s="3">
        <f t="shared" si="27"/>
        <v>-3000</v>
      </c>
      <c r="V101" s="3">
        <f t="shared" si="27"/>
        <v>-3000</v>
      </c>
      <c r="W101" s="3">
        <f t="shared" si="27"/>
        <v>-3000</v>
      </c>
      <c r="X101" s="3">
        <f t="shared" si="27"/>
        <v>-3000</v>
      </c>
      <c r="Y101" s="3">
        <f t="shared" si="27"/>
        <v>-3000</v>
      </c>
      <c r="Z101" s="3">
        <f t="shared" si="27"/>
        <v>-3000</v>
      </c>
      <c r="AA101" s="3">
        <f t="shared" si="27"/>
        <v>-3000</v>
      </c>
      <c r="AB101" s="3">
        <f t="shared" si="27"/>
        <v>-3000</v>
      </c>
      <c r="AC101" s="3">
        <f t="shared" si="27"/>
        <v>-3000</v>
      </c>
      <c r="AD101" s="3">
        <f t="shared" si="27"/>
        <v>-3000</v>
      </c>
      <c r="AE101" s="3">
        <f t="shared" si="27"/>
        <v>-3000</v>
      </c>
      <c r="AF101" s="3">
        <f t="shared" si="27"/>
        <v>-3000</v>
      </c>
      <c r="AG101" s="3">
        <f t="shared" si="27"/>
        <v>-3000</v>
      </c>
      <c r="AH101" s="3">
        <f t="shared" si="27"/>
        <v>-3000</v>
      </c>
      <c r="AI101" s="3">
        <f t="shared" si="27"/>
        <v>-3000</v>
      </c>
      <c r="AJ101" s="3">
        <f t="shared" si="27"/>
        <v>-3000</v>
      </c>
      <c r="AK101" s="3">
        <f t="shared" si="27"/>
        <v>0</v>
      </c>
      <c r="AL101" s="3">
        <f t="shared" si="27"/>
        <v>0</v>
      </c>
      <c r="AM101" s="3">
        <f t="shared" si="27"/>
        <v>0</v>
      </c>
      <c r="AN101" s="3">
        <f t="shared" si="27"/>
        <v>0</v>
      </c>
      <c r="AO101" s="3">
        <f t="shared" si="27"/>
        <v>0</v>
      </c>
      <c r="AP101" s="3">
        <f t="shared" si="27"/>
        <v>0</v>
      </c>
      <c r="AQ101" s="3">
        <f t="shared" si="27"/>
        <v>0</v>
      </c>
      <c r="AR101" s="3">
        <f t="shared" si="27"/>
        <v>0</v>
      </c>
      <c r="AS101" s="3">
        <f t="shared" si="27"/>
        <v>0</v>
      </c>
      <c r="AT101" s="3">
        <f t="shared" si="27"/>
        <v>0</v>
      </c>
      <c r="AU101" s="3">
        <f t="shared" si="27"/>
        <v>0</v>
      </c>
      <c r="AV101" s="3">
        <f t="shared" si="27"/>
        <v>0</v>
      </c>
      <c r="AW101" s="3">
        <f t="shared" si="27"/>
        <v>0</v>
      </c>
      <c r="AX101" s="3">
        <f t="shared" si="27"/>
        <v>0</v>
      </c>
      <c r="AY101" s="3">
        <f t="shared" si="27"/>
        <v>0</v>
      </c>
      <c r="AZ101" s="3">
        <f t="shared" si="27"/>
        <v>0</v>
      </c>
      <c r="BA101" s="3">
        <f t="shared" si="27"/>
        <v>0</v>
      </c>
      <c r="BB101" s="3">
        <f t="shared" si="27"/>
        <v>0</v>
      </c>
      <c r="BC101" s="3">
        <f t="shared" si="27"/>
        <v>0</v>
      </c>
      <c r="BD101" s="3">
        <f t="shared" si="27"/>
        <v>0</v>
      </c>
      <c r="BE101" s="3">
        <f t="shared" si="27"/>
        <v>0</v>
      </c>
      <c r="BF101" s="3">
        <f t="shared" si="27"/>
        <v>0</v>
      </c>
      <c r="BG101" s="3">
        <f t="shared" si="27"/>
        <v>0</v>
      </c>
      <c r="BH101" s="3">
        <f t="shared" si="27"/>
        <v>0</v>
      </c>
      <c r="BI101" s="3">
        <f t="shared" si="27"/>
        <v>0</v>
      </c>
      <c r="BJ101" s="3">
        <f t="shared" si="27"/>
        <v>0</v>
      </c>
    </row>
    <row r="102" spans="4:62" x14ac:dyDescent="0.15">
      <c r="D102" s="11" t="str">
        <f>Вводные!$D$119</f>
        <v>Отпуск</v>
      </c>
      <c r="E102" s="12" t="s">
        <v>110</v>
      </c>
      <c r="I102" s="20">
        <f>Вводные!F119</f>
        <v>-3000</v>
      </c>
      <c r="J102" s="3">
        <f t="shared" ref="J102:BJ102" si="28">$I102 * J114 * J38</f>
        <v>-3000</v>
      </c>
      <c r="K102" s="3">
        <f t="shared" si="28"/>
        <v>-3090</v>
      </c>
      <c r="L102" s="3">
        <f t="shared" si="28"/>
        <v>-3182.7</v>
      </c>
      <c r="M102" s="3">
        <f t="shared" si="28"/>
        <v>-3278.181</v>
      </c>
      <c r="N102" s="3">
        <f t="shared" si="28"/>
        <v>-3376.5264300000003</v>
      </c>
      <c r="O102" s="3">
        <f t="shared" si="28"/>
        <v>-3477.8222229000003</v>
      </c>
      <c r="P102" s="3">
        <f t="shared" si="28"/>
        <v>-3582.1568895870005</v>
      </c>
      <c r="Q102" s="3">
        <f t="shared" si="28"/>
        <v>-3689.6215962746105</v>
      </c>
      <c r="R102" s="3">
        <f t="shared" si="28"/>
        <v>-3800.3102441628489</v>
      </c>
      <c r="S102" s="3">
        <f t="shared" si="28"/>
        <v>-3914.3195514877348</v>
      </c>
      <c r="T102" s="3">
        <f t="shared" si="28"/>
        <v>-4031.7491380323668</v>
      </c>
      <c r="U102" s="3">
        <f t="shared" si="28"/>
        <v>-4152.7016121733377</v>
      </c>
      <c r="V102" s="3">
        <f t="shared" si="28"/>
        <v>-4277.282660538538</v>
      </c>
      <c r="W102" s="3">
        <f t="shared" si="28"/>
        <v>-4405.6011403546945</v>
      </c>
      <c r="X102" s="3">
        <f t="shared" si="28"/>
        <v>-4537.7691745653356</v>
      </c>
      <c r="Y102" s="3">
        <f t="shared" si="28"/>
        <v>-4673.902249802296</v>
      </c>
      <c r="Z102" s="3">
        <f t="shared" si="28"/>
        <v>-4814.1193172963649</v>
      </c>
      <c r="AA102" s="3">
        <f t="shared" si="28"/>
        <v>-4958.5428968152564</v>
      </c>
      <c r="AB102" s="3">
        <f t="shared" si="28"/>
        <v>-5107.2991837197133</v>
      </c>
      <c r="AC102" s="3">
        <f t="shared" si="28"/>
        <v>-5260.5181592313056</v>
      </c>
      <c r="AD102" s="3">
        <f t="shared" si="28"/>
        <v>-5418.3337040082451</v>
      </c>
      <c r="AE102" s="3">
        <f t="shared" si="28"/>
        <v>-5580.8837151284933</v>
      </c>
      <c r="AF102" s="3">
        <f t="shared" si="28"/>
        <v>-5748.3102265823482</v>
      </c>
      <c r="AG102" s="3">
        <f t="shared" si="28"/>
        <v>-5920.759533379819</v>
      </c>
      <c r="AH102" s="3">
        <f t="shared" si="28"/>
        <v>-6098.3823193812132</v>
      </c>
      <c r="AI102" s="3">
        <f t="shared" si="28"/>
        <v>-6281.3337889626491</v>
      </c>
      <c r="AJ102" s="3">
        <f t="shared" si="28"/>
        <v>-6469.7738026315301</v>
      </c>
      <c r="AK102" s="3">
        <f t="shared" si="28"/>
        <v>-6663.8670167104756</v>
      </c>
      <c r="AL102" s="3">
        <f t="shared" si="28"/>
        <v>-6863.7830272117899</v>
      </c>
      <c r="AM102" s="3">
        <f t="shared" si="28"/>
        <v>-7069.6965180281441</v>
      </c>
      <c r="AN102" s="3">
        <f t="shared" si="28"/>
        <v>-7281.7874135689881</v>
      </c>
      <c r="AO102" s="3">
        <f t="shared" si="28"/>
        <v>-7500.241035976057</v>
      </c>
      <c r="AP102" s="3">
        <f t="shared" si="28"/>
        <v>-7725.24826705534</v>
      </c>
      <c r="AQ102" s="3">
        <f t="shared" si="28"/>
        <v>-7957.005715067</v>
      </c>
      <c r="AR102" s="3">
        <f t="shared" si="28"/>
        <v>-8195.7158865190104</v>
      </c>
      <c r="AS102" s="3">
        <f t="shared" si="28"/>
        <v>-8441.5873631145787</v>
      </c>
      <c r="AT102" s="3">
        <f t="shared" si="28"/>
        <v>-8694.8349840080173</v>
      </c>
      <c r="AU102" s="3">
        <f t="shared" si="28"/>
        <v>-8955.6800335282569</v>
      </c>
      <c r="AV102" s="3">
        <f t="shared" si="28"/>
        <v>-9224.3504345341044</v>
      </c>
      <c r="AW102" s="3">
        <f t="shared" si="28"/>
        <v>-9501.0809475701299</v>
      </c>
      <c r="AX102" s="3">
        <f t="shared" si="28"/>
        <v>-9786.1133759972327</v>
      </c>
      <c r="AY102" s="3">
        <f t="shared" si="28"/>
        <v>-10079.69677727715</v>
      </c>
      <c r="AZ102" s="3">
        <f t="shared" si="28"/>
        <v>-10382.087680595465</v>
      </c>
      <c r="BA102" s="3">
        <f t="shared" si="28"/>
        <v>-10693.550311013329</v>
      </c>
      <c r="BB102" s="3">
        <f t="shared" si="28"/>
        <v>-11014.35682034373</v>
      </c>
      <c r="BC102" s="3">
        <f t="shared" si="28"/>
        <v>-11344.787524954043</v>
      </c>
      <c r="BD102" s="3">
        <f t="shared" si="28"/>
        <v>-11685.131150702664</v>
      </c>
      <c r="BE102" s="3">
        <f t="shared" si="28"/>
        <v>-12035.685085223746</v>
      </c>
      <c r="BF102" s="3">
        <f t="shared" si="28"/>
        <v>-12396.755637780458</v>
      </c>
      <c r="BG102" s="3">
        <f t="shared" si="28"/>
        <v>-12768.658306913872</v>
      </c>
      <c r="BH102" s="3">
        <f t="shared" si="28"/>
        <v>-13151.718056121288</v>
      </c>
      <c r="BI102" s="3">
        <f t="shared" si="28"/>
        <v>-13546.269597804927</v>
      </c>
      <c r="BJ102" s="3">
        <f t="shared" si="28"/>
        <v>-13952.657685739074</v>
      </c>
    </row>
    <row r="103" spans="4:62" x14ac:dyDescent="0.15">
      <c r="D103" s="11" t="str">
        <f>Вводные!$D$120</f>
        <v xml:space="preserve">Долг 2 млн </v>
      </c>
      <c r="E103" s="12" t="s">
        <v>110</v>
      </c>
      <c r="I103" s="20">
        <f>Вводные!F120</f>
        <v>-3000</v>
      </c>
      <c r="J103" s="3">
        <f t="shared" ref="J103:BJ103" si="29">$I103 * J115 * J39</f>
        <v>-3000</v>
      </c>
      <c r="K103" s="3">
        <f t="shared" si="29"/>
        <v>-3000</v>
      </c>
      <c r="L103" s="3">
        <f t="shared" si="29"/>
        <v>0</v>
      </c>
      <c r="M103" s="3">
        <f t="shared" si="29"/>
        <v>0</v>
      </c>
      <c r="N103" s="3">
        <f t="shared" si="29"/>
        <v>0</v>
      </c>
      <c r="O103" s="3">
        <f t="shared" si="29"/>
        <v>0</v>
      </c>
      <c r="P103" s="3">
        <f t="shared" si="29"/>
        <v>0</v>
      </c>
      <c r="Q103" s="3">
        <f t="shared" si="29"/>
        <v>0</v>
      </c>
      <c r="R103" s="3">
        <f t="shared" si="29"/>
        <v>0</v>
      </c>
      <c r="S103" s="3">
        <f t="shared" si="29"/>
        <v>0</v>
      </c>
      <c r="T103" s="3">
        <f t="shared" si="29"/>
        <v>0</v>
      </c>
      <c r="U103" s="3">
        <f t="shared" si="29"/>
        <v>0</v>
      </c>
      <c r="V103" s="3">
        <f t="shared" si="29"/>
        <v>0</v>
      </c>
      <c r="W103" s="3">
        <f t="shared" si="29"/>
        <v>0</v>
      </c>
      <c r="X103" s="3">
        <f t="shared" si="29"/>
        <v>0</v>
      </c>
      <c r="Y103" s="3">
        <f t="shared" si="29"/>
        <v>0</v>
      </c>
      <c r="Z103" s="3">
        <f t="shared" si="29"/>
        <v>0</v>
      </c>
      <c r="AA103" s="3">
        <f t="shared" si="29"/>
        <v>0</v>
      </c>
      <c r="AB103" s="3">
        <f t="shared" si="29"/>
        <v>0</v>
      </c>
      <c r="AC103" s="3">
        <f t="shared" si="29"/>
        <v>0</v>
      </c>
      <c r="AD103" s="3">
        <f t="shared" si="29"/>
        <v>0</v>
      </c>
      <c r="AE103" s="3">
        <f t="shared" si="29"/>
        <v>0</v>
      </c>
      <c r="AF103" s="3">
        <f t="shared" si="29"/>
        <v>0</v>
      </c>
      <c r="AG103" s="3">
        <f t="shared" si="29"/>
        <v>0</v>
      </c>
      <c r="AH103" s="3">
        <f t="shared" si="29"/>
        <v>0</v>
      </c>
      <c r="AI103" s="3">
        <f t="shared" si="29"/>
        <v>0</v>
      </c>
      <c r="AJ103" s="3">
        <f t="shared" si="29"/>
        <v>0</v>
      </c>
      <c r="AK103" s="3">
        <f t="shared" si="29"/>
        <v>0</v>
      </c>
      <c r="AL103" s="3">
        <f t="shared" si="29"/>
        <v>0</v>
      </c>
      <c r="AM103" s="3">
        <f t="shared" si="29"/>
        <v>0</v>
      </c>
      <c r="AN103" s="3">
        <f t="shared" si="29"/>
        <v>0</v>
      </c>
      <c r="AO103" s="3">
        <f t="shared" si="29"/>
        <v>0</v>
      </c>
      <c r="AP103" s="3">
        <f t="shared" si="29"/>
        <v>0</v>
      </c>
      <c r="AQ103" s="3">
        <f t="shared" si="29"/>
        <v>0</v>
      </c>
      <c r="AR103" s="3">
        <f t="shared" si="29"/>
        <v>0</v>
      </c>
      <c r="AS103" s="3">
        <f t="shared" si="29"/>
        <v>0</v>
      </c>
      <c r="AT103" s="3">
        <f t="shared" si="29"/>
        <v>0</v>
      </c>
      <c r="AU103" s="3">
        <f t="shared" si="29"/>
        <v>0</v>
      </c>
      <c r="AV103" s="3">
        <f t="shared" si="29"/>
        <v>0</v>
      </c>
      <c r="AW103" s="3">
        <f t="shared" si="29"/>
        <v>0</v>
      </c>
      <c r="AX103" s="3">
        <f t="shared" si="29"/>
        <v>0</v>
      </c>
      <c r="AY103" s="3">
        <f t="shared" si="29"/>
        <v>0</v>
      </c>
      <c r="AZ103" s="3">
        <f t="shared" si="29"/>
        <v>0</v>
      </c>
      <c r="BA103" s="3">
        <f t="shared" si="29"/>
        <v>0</v>
      </c>
      <c r="BB103" s="3">
        <f t="shared" si="29"/>
        <v>0</v>
      </c>
      <c r="BC103" s="3">
        <f t="shared" si="29"/>
        <v>0</v>
      </c>
      <c r="BD103" s="3">
        <f t="shared" si="29"/>
        <v>0</v>
      </c>
      <c r="BE103" s="3">
        <f t="shared" si="29"/>
        <v>0</v>
      </c>
      <c r="BF103" s="3">
        <f t="shared" si="29"/>
        <v>0</v>
      </c>
      <c r="BG103" s="3">
        <f t="shared" si="29"/>
        <v>0</v>
      </c>
      <c r="BH103" s="3">
        <f t="shared" si="29"/>
        <v>0</v>
      </c>
      <c r="BI103" s="3">
        <f t="shared" si="29"/>
        <v>0</v>
      </c>
      <c r="BJ103" s="3">
        <f t="shared" si="29"/>
        <v>0</v>
      </c>
    </row>
    <row r="104" spans="4:62" x14ac:dyDescent="0.15">
      <c r="D104" s="11" t="str">
        <f>Вводные!$D$121</f>
        <v>Долг за квартиру</v>
      </c>
      <c r="E104" s="12" t="s">
        <v>110</v>
      </c>
      <c r="I104" s="20">
        <f>Вводные!F121</f>
        <v>-3000</v>
      </c>
      <c r="J104" s="3">
        <f t="shared" ref="J104:BJ104" si="30">$I104 * J116 * J40</f>
        <v>-3000</v>
      </c>
      <c r="K104" s="3">
        <f t="shared" si="30"/>
        <v>-3000</v>
      </c>
      <c r="L104" s="3">
        <f t="shared" si="30"/>
        <v>-3000</v>
      </c>
      <c r="M104" s="3">
        <f t="shared" si="30"/>
        <v>-3000</v>
      </c>
      <c r="N104" s="3">
        <f t="shared" si="30"/>
        <v>-3000</v>
      </c>
      <c r="O104" s="3">
        <f t="shared" si="30"/>
        <v>0</v>
      </c>
      <c r="P104" s="3">
        <f t="shared" si="30"/>
        <v>0</v>
      </c>
      <c r="Q104" s="3">
        <f t="shared" si="30"/>
        <v>0</v>
      </c>
      <c r="R104" s="3">
        <f t="shared" si="30"/>
        <v>0</v>
      </c>
      <c r="S104" s="3">
        <f t="shared" si="30"/>
        <v>0</v>
      </c>
      <c r="T104" s="3">
        <f t="shared" si="30"/>
        <v>0</v>
      </c>
      <c r="U104" s="3">
        <f t="shared" si="30"/>
        <v>0</v>
      </c>
      <c r="V104" s="3">
        <f t="shared" si="30"/>
        <v>0</v>
      </c>
      <c r="W104" s="3">
        <f t="shared" si="30"/>
        <v>0</v>
      </c>
      <c r="X104" s="3">
        <f t="shared" si="30"/>
        <v>0</v>
      </c>
      <c r="Y104" s="3">
        <f t="shared" si="30"/>
        <v>0</v>
      </c>
      <c r="Z104" s="3">
        <f t="shared" si="30"/>
        <v>0</v>
      </c>
      <c r="AA104" s="3">
        <f t="shared" si="30"/>
        <v>0</v>
      </c>
      <c r="AB104" s="3">
        <f t="shared" si="30"/>
        <v>0</v>
      </c>
      <c r="AC104" s="3">
        <f t="shared" si="30"/>
        <v>0</v>
      </c>
      <c r="AD104" s="3">
        <f t="shared" si="30"/>
        <v>0</v>
      </c>
      <c r="AE104" s="3">
        <f t="shared" si="30"/>
        <v>0</v>
      </c>
      <c r="AF104" s="3">
        <f t="shared" si="30"/>
        <v>0</v>
      </c>
      <c r="AG104" s="3">
        <f t="shared" si="30"/>
        <v>0</v>
      </c>
      <c r="AH104" s="3">
        <f t="shared" si="30"/>
        <v>0</v>
      </c>
      <c r="AI104" s="3">
        <f t="shared" si="30"/>
        <v>0</v>
      </c>
      <c r="AJ104" s="3">
        <f t="shared" si="30"/>
        <v>0</v>
      </c>
      <c r="AK104" s="3">
        <f t="shared" si="30"/>
        <v>0</v>
      </c>
      <c r="AL104" s="3">
        <f t="shared" si="30"/>
        <v>0</v>
      </c>
      <c r="AM104" s="3">
        <f t="shared" si="30"/>
        <v>0</v>
      </c>
      <c r="AN104" s="3">
        <f t="shared" si="30"/>
        <v>0</v>
      </c>
      <c r="AO104" s="3">
        <f t="shared" si="30"/>
        <v>0</v>
      </c>
      <c r="AP104" s="3">
        <f t="shared" si="30"/>
        <v>0</v>
      </c>
      <c r="AQ104" s="3">
        <f t="shared" si="30"/>
        <v>0</v>
      </c>
      <c r="AR104" s="3">
        <f t="shared" si="30"/>
        <v>0</v>
      </c>
      <c r="AS104" s="3">
        <f t="shared" si="30"/>
        <v>0</v>
      </c>
      <c r="AT104" s="3">
        <f t="shared" si="30"/>
        <v>0</v>
      </c>
      <c r="AU104" s="3">
        <f t="shared" si="30"/>
        <v>0</v>
      </c>
      <c r="AV104" s="3">
        <f t="shared" si="30"/>
        <v>0</v>
      </c>
      <c r="AW104" s="3">
        <f t="shared" si="30"/>
        <v>0</v>
      </c>
      <c r="AX104" s="3">
        <f t="shared" si="30"/>
        <v>0</v>
      </c>
      <c r="AY104" s="3">
        <f t="shared" si="30"/>
        <v>0</v>
      </c>
      <c r="AZ104" s="3">
        <f t="shared" si="30"/>
        <v>0</v>
      </c>
      <c r="BA104" s="3">
        <f t="shared" si="30"/>
        <v>0</v>
      </c>
      <c r="BB104" s="3">
        <f t="shared" si="30"/>
        <v>0</v>
      </c>
      <c r="BC104" s="3">
        <f t="shared" si="30"/>
        <v>0</v>
      </c>
      <c r="BD104" s="3">
        <f t="shared" si="30"/>
        <v>0</v>
      </c>
      <c r="BE104" s="3">
        <f t="shared" si="30"/>
        <v>0</v>
      </c>
      <c r="BF104" s="3">
        <f t="shared" si="30"/>
        <v>0</v>
      </c>
      <c r="BG104" s="3">
        <f t="shared" si="30"/>
        <v>0</v>
      </c>
      <c r="BH104" s="3">
        <f t="shared" si="30"/>
        <v>0</v>
      </c>
      <c r="BI104" s="3">
        <f t="shared" si="30"/>
        <v>0</v>
      </c>
      <c r="BJ104" s="3">
        <f t="shared" si="30"/>
        <v>0</v>
      </c>
    </row>
    <row r="105" spans="4:62" x14ac:dyDescent="0.15">
      <c r="D105" s="11" t="str">
        <f>Вводные!$D$122</f>
        <v>Подарки</v>
      </c>
      <c r="E105" s="12" t="s">
        <v>110</v>
      </c>
      <c r="I105" s="20">
        <f>Вводные!F122</f>
        <v>-3000</v>
      </c>
      <c r="J105" s="3">
        <f t="shared" ref="J105:BJ105" si="31">$I105 * J117 * J41</f>
        <v>-3000</v>
      </c>
      <c r="K105" s="3">
        <f t="shared" si="31"/>
        <v>-3090</v>
      </c>
      <c r="L105" s="3">
        <f t="shared" si="31"/>
        <v>-3182.7</v>
      </c>
      <c r="M105" s="3">
        <f t="shared" si="31"/>
        <v>-3278.181</v>
      </c>
      <c r="N105" s="3">
        <f t="shared" si="31"/>
        <v>-3376.5264300000003</v>
      </c>
      <c r="O105" s="3">
        <f t="shared" si="31"/>
        <v>-3477.8222229000003</v>
      </c>
      <c r="P105" s="3">
        <f t="shared" si="31"/>
        <v>-3582.1568895870005</v>
      </c>
      <c r="Q105" s="3">
        <f t="shared" si="31"/>
        <v>-3689.6215962746105</v>
      </c>
      <c r="R105" s="3">
        <f t="shared" si="31"/>
        <v>-3800.3102441628489</v>
      </c>
      <c r="S105" s="3">
        <f t="shared" si="31"/>
        <v>-3914.3195514877348</v>
      </c>
      <c r="T105" s="3">
        <f t="shared" si="31"/>
        <v>-4031.7491380323668</v>
      </c>
      <c r="U105" s="3">
        <f t="shared" si="31"/>
        <v>-4152.7016121733377</v>
      </c>
      <c r="V105" s="3">
        <f t="shared" si="31"/>
        <v>-4277.282660538538</v>
      </c>
      <c r="W105" s="3">
        <f t="shared" si="31"/>
        <v>-4405.6011403546945</v>
      </c>
      <c r="X105" s="3">
        <f t="shared" si="31"/>
        <v>-4537.7691745653356</v>
      </c>
      <c r="Y105" s="3">
        <f t="shared" si="31"/>
        <v>-4673.902249802296</v>
      </c>
      <c r="Z105" s="3">
        <f t="shared" si="31"/>
        <v>-4814.1193172963649</v>
      </c>
      <c r="AA105" s="3">
        <f t="shared" si="31"/>
        <v>-4958.5428968152564</v>
      </c>
      <c r="AB105" s="3">
        <f t="shared" si="31"/>
        <v>-5107.2991837197133</v>
      </c>
      <c r="AC105" s="3">
        <f t="shared" si="31"/>
        <v>-5260.5181592313056</v>
      </c>
      <c r="AD105" s="3">
        <f t="shared" si="31"/>
        <v>-5418.3337040082451</v>
      </c>
      <c r="AE105" s="3">
        <f t="shared" si="31"/>
        <v>-5580.8837151284933</v>
      </c>
      <c r="AF105" s="3">
        <f t="shared" si="31"/>
        <v>-5748.3102265823482</v>
      </c>
      <c r="AG105" s="3">
        <f t="shared" si="31"/>
        <v>-5920.759533379819</v>
      </c>
      <c r="AH105" s="3">
        <f t="shared" si="31"/>
        <v>-6098.3823193812132</v>
      </c>
      <c r="AI105" s="3">
        <f t="shared" si="31"/>
        <v>-6281.3337889626491</v>
      </c>
      <c r="AJ105" s="3">
        <f t="shared" si="31"/>
        <v>-6469.7738026315301</v>
      </c>
      <c r="AK105" s="3">
        <f t="shared" si="31"/>
        <v>-6663.8670167104756</v>
      </c>
      <c r="AL105" s="3">
        <f t="shared" si="31"/>
        <v>-6863.7830272117899</v>
      </c>
      <c r="AM105" s="3">
        <f t="shared" si="31"/>
        <v>-7069.6965180281441</v>
      </c>
      <c r="AN105" s="3">
        <f t="shared" si="31"/>
        <v>-7281.7874135689881</v>
      </c>
      <c r="AO105" s="3">
        <f t="shared" si="31"/>
        <v>-7500.241035976057</v>
      </c>
      <c r="AP105" s="3">
        <f t="shared" si="31"/>
        <v>-7725.24826705534</v>
      </c>
      <c r="AQ105" s="3">
        <f t="shared" si="31"/>
        <v>-7957.005715067</v>
      </c>
      <c r="AR105" s="3">
        <f t="shared" si="31"/>
        <v>-8195.7158865190104</v>
      </c>
      <c r="AS105" s="3">
        <f t="shared" si="31"/>
        <v>-8441.5873631145787</v>
      </c>
      <c r="AT105" s="3">
        <f t="shared" si="31"/>
        <v>-8694.8349840080173</v>
      </c>
      <c r="AU105" s="3">
        <f t="shared" si="31"/>
        <v>-8955.6800335282569</v>
      </c>
      <c r="AV105" s="3">
        <f t="shared" si="31"/>
        <v>-9224.3504345341044</v>
      </c>
      <c r="AW105" s="3">
        <f t="shared" si="31"/>
        <v>-9501.0809475701299</v>
      </c>
      <c r="AX105" s="3">
        <f t="shared" si="31"/>
        <v>-9786.1133759972327</v>
      </c>
      <c r="AY105" s="3">
        <f t="shared" si="31"/>
        <v>-10079.69677727715</v>
      </c>
      <c r="AZ105" s="3">
        <f t="shared" si="31"/>
        <v>-10382.087680595465</v>
      </c>
      <c r="BA105" s="3">
        <f t="shared" si="31"/>
        <v>-10693.550311013329</v>
      </c>
      <c r="BB105" s="3">
        <f t="shared" si="31"/>
        <v>-11014.35682034373</v>
      </c>
      <c r="BC105" s="3">
        <f t="shared" si="31"/>
        <v>-11344.787524954043</v>
      </c>
      <c r="BD105" s="3">
        <f t="shared" si="31"/>
        <v>-11685.131150702664</v>
      </c>
      <c r="BE105" s="3">
        <f t="shared" si="31"/>
        <v>-12035.685085223746</v>
      </c>
      <c r="BF105" s="3">
        <f t="shared" si="31"/>
        <v>-12396.755637780458</v>
      </c>
      <c r="BG105" s="3">
        <f t="shared" si="31"/>
        <v>-12768.658306913872</v>
      </c>
      <c r="BH105" s="3">
        <f t="shared" si="31"/>
        <v>-13151.718056121288</v>
      </c>
      <c r="BI105" s="3">
        <f t="shared" si="31"/>
        <v>-13546.269597804927</v>
      </c>
      <c r="BJ105" s="3">
        <f t="shared" si="31"/>
        <v>-13952.657685739074</v>
      </c>
    </row>
    <row r="106" spans="4:62" x14ac:dyDescent="0.15">
      <c r="D106" s="11" t="str">
        <f>Вводные!$D$123</f>
        <v>Ежегодный расход 8</v>
      </c>
      <c r="E106" s="12" t="s">
        <v>110</v>
      </c>
      <c r="I106" s="20">
        <f>Вводные!F123</f>
        <v>0</v>
      </c>
      <c r="J106" s="3">
        <f t="shared" ref="J106:BJ106" si="32">$I106 * J118 * J42</f>
        <v>0</v>
      </c>
      <c r="K106" s="3">
        <f t="shared" si="32"/>
        <v>0</v>
      </c>
      <c r="L106" s="3">
        <f t="shared" si="32"/>
        <v>0</v>
      </c>
      <c r="M106" s="3">
        <f t="shared" si="32"/>
        <v>0</v>
      </c>
      <c r="N106" s="3">
        <f t="shared" si="32"/>
        <v>0</v>
      </c>
      <c r="O106" s="3">
        <f t="shared" si="32"/>
        <v>0</v>
      </c>
      <c r="P106" s="3">
        <f t="shared" si="32"/>
        <v>0</v>
      </c>
      <c r="Q106" s="3">
        <f t="shared" si="32"/>
        <v>0</v>
      </c>
      <c r="R106" s="3">
        <f t="shared" si="32"/>
        <v>0</v>
      </c>
      <c r="S106" s="3">
        <f t="shared" si="32"/>
        <v>0</v>
      </c>
      <c r="T106" s="3">
        <f t="shared" si="32"/>
        <v>0</v>
      </c>
      <c r="U106" s="3">
        <f t="shared" si="32"/>
        <v>0</v>
      </c>
      <c r="V106" s="3">
        <f t="shared" si="32"/>
        <v>0</v>
      </c>
      <c r="W106" s="3">
        <f t="shared" si="32"/>
        <v>0</v>
      </c>
      <c r="X106" s="3">
        <f t="shared" si="32"/>
        <v>0</v>
      </c>
      <c r="Y106" s="3">
        <f t="shared" si="32"/>
        <v>0</v>
      </c>
      <c r="Z106" s="3">
        <f t="shared" si="32"/>
        <v>0</v>
      </c>
      <c r="AA106" s="3">
        <f t="shared" si="32"/>
        <v>0</v>
      </c>
      <c r="AB106" s="3">
        <f t="shared" si="32"/>
        <v>0</v>
      </c>
      <c r="AC106" s="3">
        <f t="shared" si="32"/>
        <v>0</v>
      </c>
      <c r="AD106" s="3">
        <f t="shared" si="32"/>
        <v>0</v>
      </c>
      <c r="AE106" s="3">
        <f t="shared" si="32"/>
        <v>0</v>
      </c>
      <c r="AF106" s="3">
        <f t="shared" si="32"/>
        <v>0</v>
      </c>
      <c r="AG106" s="3">
        <f t="shared" si="32"/>
        <v>0</v>
      </c>
      <c r="AH106" s="3">
        <f t="shared" si="32"/>
        <v>0</v>
      </c>
      <c r="AI106" s="3">
        <f t="shared" si="32"/>
        <v>0</v>
      </c>
      <c r="AJ106" s="3">
        <f t="shared" si="32"/>
        <v>0</v>
      </c>
      <c r="AK106" s="3">
        <f t="shared" si="32"/>
        <v>0</v>
      </c>
      <c r="AL106" s="3">
        <f t="shared" si="32"/>
        <v>0</v>
      </c>
      <c r="AM106" s="3">
        <f t="shared" si="32"/>
        <v>0</v>
      </c>
      <c r="AN106" s="3">
        <f t="shared" si="32"/>
        <v>0</v>
      </c>
      <c r="AO106" s="3">
        <f t="shared" si="32"/>
        <v>0</v>
      </c>
      <c r="AP106" s="3">
        <f t="shared" si="32"/>
        <v>0</v>
      </c>
      <c r="AQ106" s="3">
        <f t="shared" si="32"/>
        <v>0</v>
      </c>
      <c r="AR106" s="3">
        <f t="shared" si="32"/>
        <v>0</v>
      </c>
      <c r="AS106" s="3">
        <f t="shared" si="32"/>
        <v>0</v>
      </c>
      <c r="AT106" s="3">
        <f t="shared" si="32"/>
        <v>0</v>
      </c>
      <c r="AU106" s="3">
        <f t="shared" si="32"/>
        <v>0</v>
      </c>
      <c r="AV106" s="3">
        <f t="shared" si="32"/>
        <v>0</v>
      </c>
      <c r="AW106" s="3">
        <f t="shared" si="32"/>
        <v>0</v>
      </c>
      <c r="AX106" s="3">
        <f t="shared" si="32"/>
        <v>0</v>
      </c>
      <c r="AY106" s="3">
        <f t="shared" si="32"/>
        <v>0</v>
      </c>
      <c r="AZ106" s="3">
        <f t="shared" si="32"/>
        <v>0</v>
      </c>
      <c r="BA106" s="3">
        <f t="shared" si="32"/>
        <v>0</v>
      </c>
      <c r="BB106" s="3">
        <f t="shared" si="32"/>
        <v>0</v>
      </c>
      <c r="BC106" s="3">
        <f t="shared" si="32"/>
        <v>0</v>
      </c>
      <c r="BD106" s="3">
        <f t="shared" si="32"/>
        <v>0</v>
      </c>
      <c r="BE106" s="3">
        <f t="shared" si="32"/>
        <v>0</v>
      </c>
      <c r="BF106" s="3">
        <f t="shared" si="32"/>
        <v>0</v>
      </c>
      <c r="BG106" s="3">
        <f t="shared" si="32"/>
        <v>0</v>
      </c>
      <c r="BH106" s="3">
        <f t="shared" si="32"/>
        <v>0</v>
      </c>
      <c r="BI106" s="3">
        <f t="shared" si="32"/>
        <v>0</v>
      </c>
      <c r="BJ106" s="3">
        <f t="shared" si="32"/>
        <v>0</v>
      </c>
    </row>
    <row r="107" spans="4:62" x14ac:dyDescent="0.15">
      <c r="D107" s="11" t="str">
        <f>Вводные!$D$124</f>
        <v>Ежегодный расход 9</v>
      </c>
      <c r="E107" s="12" t="s">
        <v>110</v>
      </c>
      <c r="I107" s="20">
        <f>Вводные!F124</f>
        <v>0</v>
      </c>
      <c r="J107" s="3">
        <f t="shared" ref="J107:BJ107" si="33">$I107 * J119 * J43</f>
        <v>0</v>
      </c>
      <c r="K107" s="3">
        <f t="shared" si="33"/>
        <v>0</v>
      </c>
      <c r="L107" s="3">
        <f t="shared" si="33"/>
        <v>0</v>
      </c>
      <c r="M107" s="3">
        <f t="shared" si="33"/>
        <v>0</v>
      </c>
      <c r="N107" s="3">
        <f t="shared" si="33"/>
        <v>0</v>
      </c>
      <c r="O107" s="3">
        <f t="shared" si="33"/>
        <v>0</v>
      </c>
      <c r="P107" s="3">
        <f t="shared" si="33"/>
        <v>0</v>
      </c>
      <c r="Q107" s="3">
        <f t="shared" si="33"/>
        <v>0</v>
      </c>
      <c r="R107" s="3">
        <f t="shared" si="33"/>
        <v>0</v>
      </c>
      <c r="S107" s="3">
        <f t="shared" si="33"/>
        <v>0</v>
      </c>
      <c r="T107" s="3">
        <f t="shared" si="33"/>
        <v>0</v>
      </c>
      <c r="U107" s="3">
        <f t="shared" si="33"/>
        <v>0</v>
      </c>
      <c r="V107" s="3">
        <f t="shared" si="33"/>
        <v>0</v>
      </c>
      <c r="W107" s="3">
        <f t="shared" si="33"/>
        <v>0</v>
      </c>
      <c r="X107" s="3">
        <f t="shared" si="33"/>
        <v>0</v>
      </c>
      <c r="Y107" s="3">
        <f t="shared" si="33"/>
        <v>0</v>
      </c>
      <c r="Z107" s="3">
        <f t="shared" si="33"/>
        <v>0</v>
      </c>
      <c r="AA107" s="3">
        <f t="shared" si="33"/>
        <v>0</v>
      </c>
      <c r="AB107" s="3">
        <f t="shared" si="33"/>
        <v>0</v>
      </c>
      <c r="AC107" s="3">
        <f t="shared" si="33"/>
        <v>0</v>
      </c>
      <c r="AD107" s="3">
        <f t="shared" si="33"/>
        <v>0</v>
      </c>
      <c r="AE107" s="3">
        <f t="shared" si="33"/>
        <v>0</v>
      </c>
      <c r="AF107" s="3">
        <f t="shared" si="33"/>
        <v>0</v>
      </c>
      <c r="AG107" s="3">
        <f t="shared" si="33"/>
        <v>0</v>
      </c>
      <c r="AH107" s="3">
        <f t="shared" si="33"/>
        <v>0</v>
      </c>
      <c r="AI107" s="3">
        <f t="shared" si="33"/>
        <v>0</v>
      </c>
      <c r="AJ107" s="3">
        <f t="shared" si="33"/>
        <v>0</v>
      </c>
      <c r="AK107" s="3">
        <f t="shared" si="33"/>
        <v>0</v>
      </c>
      <c r="AL107" s="3">
        <f t="shared" si="33"/>
        <v>0</v>
      </c>
      <c r="AM107" s="3">
        <f t="shared" si="33"/>
        <v>0</v>
      </c>
      <c r="AN107" s="3">
        <f t="shared" si="33"/>
        <v>0</v>
      </c>
      <c r="AO107" s="3">
        <f t="shared" si="33"/>
        <v>0</v>
      </c>
      <c r="AP107" s="3">
        <f t="shared" si="33"/>
        <v>0</v>
      </c>
      <c r="AQ107" s="3">
        <f t="shared" si="33"/>
        <v>0</v>
      </c>
      <c r="AR107" s="3">
        <f t="shared" si="33"/>
        <v>0</v>
      </c>
      <c r="AS107" s="3">
        <f t="shared" si="33"/>
        <v>0</v>
      </c>
      <c r="AT107" s="3">
        <f t="shared" si="33"/>
        <v>0</v>
      </c>
      <c r="AU107" s="3">
        <f t="shared" si="33"/>
        <v>0</v>
      </c>
      <c r="AV107" s="3">
        <f t="shared" si="33"/>
        <v>0</v>
      </c>
      <c r="AW107" s="3">
        <f t="shared" si="33"/>
        <v>0</v>
      </c>
      <c r="AX107" s="3">
        <f t="shared" si="33"/>
        <v>0</v>
      </c>
      <c r="AY107" s="3">
        <f t="shared" si="33"/>
        <v>0</v>
      </c>
      <c r="AZ107" s="3">
        <f t="shared" si="33"/>
        <v>0</v>
      </c>
      <c r="BA107" s="3">
        <f t="shared" si="33"/>
        <v>0</v>
      </c>
      <c r="BB107" s="3">
        <f t="shared" si="33"/>
        <v>0</v>
      </c>
      <c r="BC107" s="3">
        <f t="shared" si="33"/>
        <v>0</v>
      </c>
      <c r="BD107" s="3">
        <f t="shared" si="33"/>
        <v>0</v>
      </c>
      <c r="BE107" s="3">
        <f t="shared" si="33"/>
        <v>0</v>
      </c>
      <c r="BF107" s="3">
        <f t="shared" si="33"/>
        <v>0</v>
      </c>
      <c r="BG107" s="3">
        <f t="shared" si="33"/>
        <v>0</v>
      </c>
      <c r="BH107" s="3">
        <f t="shared" si="33"/>
        <v>0</v>
      </c>
      <c r="BI107" s="3">
        <f t="shared" si="33"/>
        <v>0</v>
      </c>
      <c r="BJ107" s="3">
        <f t="shared" si="33"/>
        <v>0</v>
      </c>
    </row>
    <row r="108" spans="4:62" x14ac:dyDescent="0.15">
      <c r="D108" s="11" t="str">
        <f>Вводные!$D$125</f>
        <v>Ежегодный расход 10</v>
      </c>
      <c r="E108" s="12" t="s">
        <v>110</v>
      </c>
      <c r="I108" s="20">
        <f>Вводные!F125</f>
        <v>0</v>
      </c>
      <c r="J108" s="3">
        <f t="shared" ref="J108:BJ108" si="34">$I108 * J120 * J44</f>
        <v>0</v>
      </c>
      <c r="K108" s="3">
        <f t="shared" si="34"/>
        <v>0</v>
      </c>
      <c r="L108" s="3">
        <f t="shared" si="34"/>
        <v>0</v>
      </c>
      <c r="M108" s="3">
        <f t="shared" si="34"/>
        <v>0</v>
      </c>
      <c r="N108" s="3">
        <f t="shared" si="34"/>
        <v>0</v>
      </c>
      <c r="O108" s="3">
        <f t="shared" si="34"/>
        <v>0</v>
      </c>
      <c r="P108" s="3">
        <f t="shared" si="34"/>
        <v>0</v>
      </c>
      <c r="Q108" s="3">
        <f t="shared" si="34"/>
        <v>0</v>
      </c>
      <c r="R108" s="3">
        <f t="shared" si="34"/>
        <v>0</v>
      </c>
      <c r="S108" s="3">
        <f t="shared" si="34"/>
        <v>0</v>
      </c>
      <c r="T108" s="3">
        <f t="shared" si="34"/>
        <v>0</v>
      </c>
      <c r="U108" s="3">
        <f t="shared" si="34"/>
        <v>0</v>
      </c>
      <c r="V108" s="3">
        <f t="shared" si="34"/>
        <v>0</v>
      </c>
      <c r="W108" s="3">
        <f t="shared" si="34"/>
        <v>0</v>
      </c>
      <c r="X108" s="3">
        <f t="shared" si="34"/>
        <v>0</v>
      </c>
      <c r="Y108" s="3">
        <f t="shared" si="34"/>
        <v>0</v>
      </c>
      <c r="Z108" s="3">
        <f t="shared" si="34"/>
        <v>0</v>
      </c>
      <c r="AA108" s="3">
        <f t="shared" si="34"/>
        <v>0</v>
      </c>
      <c r="AB108" s="3">
        <f t="shared" si="34"/>
        <v>0</v>
      </c>
      <c r="AC108" s="3">
        <f t="shared" si="34"/>
        <v>0</v>
      </c>
      <c r="AD108" s="3">
        <f t="shared" si="34"/>
        <v>0</v>
      </c>
      <c r="AE108" s="3">
        <f t="shared" si="34"/>
        <v>0</v>
      </c>
      <c r="AF108" s="3">
        <f t="shared" si="34"/>
        <v>0</v>
      </c>
      <c r="AG108" s="3">
        <f t="shared" si="34"/>
        <v>0</v>
      </c>
      <c r="AH108" s="3">
        <f t="shared" si="34"/>
        <v>0</v>
      </c>
      <c r="AI108" s="3">
        <f t="shared" si="34"/>
        <v>0</v>
      </c>
      <c r="AJ108" s="3">
        <f t="shared" si="34"/>
        <v>0</v>
      </c>
      <c r="AK108" s="3">
        <f t="shared" si="34"/>
        <v>0</v>
      </c>
      <c r="AL108" s="3">
        <f t="shared" si="34"/>
        <v>0</v>
      </c>
      <c r="AM108" s="3">
        <f t="shared" si="34"/>
        <v>0</v>
      </c>
      <c r="AN108" s="3">
        <f t="shared" si="34"/>
        <v>0</v>
      </c>
      <c r="AO108" s="3">
        <f t="shared" si="34"/>
        <v>0</v>
      </c>
      <c r="AP108" s="3">
        <f t="shared" si="34"/>
        <v>0</v>
      </c>
      <c r="AQ108" s="3">
        <f t="shared" si="34"/>
        <v>0</v>
      </c>
      <c r="AR108" s="3">
        <f t="shared" si="34"/>
        <v>0</v>
      </c>
      <c r="AS108" s="3">
        <f t="shared" si="34"/>
        <v>0</v>
      </c>
      <c r="AT108" s="3">
        <f t="shared" si="34"/>
        <v>0</v>
      </c>
      <c r="AU108" s="3">
        <f t="shared" si="34"/>
        <v>0</v>
      </c>
      <c r="AV108" s="3">
        <f t="shared" si="34"/>
        <v>0</v>
      </c>
      <c r="AW108" s="3">
        <f t="shared" si="34"/>
        <v>0</v>
      </c>
      <c r="AX108" s="3">
        <f t="shared" si="34"/>
        <v>0</v>
      </c>
      <c r="AY108" s="3">
        <f t="shared" si="34"/>
        <v>0</v>
      </c>
      <c r="AZ108" s="3">
        <f t="shared" si="34"/>
        <v>0</v>
      </c>
      <c r="BA108" s="3">
        <f t="shared" si="34"/>
        <v>0</v>
      </c>
      <c r="BB108" s="3">
        <f t="shared" si="34"/>
        <v>0</v>
      </c>
      <c r="BC108" s="3">
        <f t="shared" si="34"/>
        <v>0</v>
      </c>
      <c r="BD108" s="3">
        <f t="shared" si="34"/>
        <v>0</v>
      </c>
      <c r="BE108" s="3">
        <f t="shared" si="34"/>
        <v>0</v>
      </c>
      <c r="BF108" s="3">
        <f t="shared" si="34"/>
        <v>0</v>
      </c>
      <c r="BG108" s="3">
        <f t="shared" si="34"/>
        <v>0</v>
      </c>
      <c r="BH108" s="3">
        <f t="shared" si="34"/>
        <v>0</v>
      </c>
      <c r="BI108" s="3">
        <f t="shared" si="34"/>
        <v>0</v>
      </c>
      <c r="BJ108" s="3">
        <f t="shared" si="34"/>
        <v>0</v>
      </c>
    </row>
    <row r="109" spans="4:62" x14ac:dyDescent="0.15">
      <c r="E109" s="12"/>
    </row>
    <row r="110" spans="4:62" x14ac:dyDescent="0.15">
      <c r="D110" s="8" t="s">
        <v>18</v>
      </c>
      <c r="E110" s="12"/>
    </row>
    <row r="111" spans="4:62" x14ac:dyDescent="0.15">
      <c r="D111" s="11" t="str">
        <f>Вводные!$D$128</f>
        <v>Темп роста Страховка</v>
      </c>
      <c r="E111" s="12" t="s">
        <v>4</v>
      </c>
      <c r="I111" s="23">
        <v>1</v>
      </c>
      <c r="J111" s="5">
        <f>I111 * (1+Вводные!J128)</f>
        <v>1</v>
      </c>
      <c r="K111" s="5">
        <f>J111 * (1+Вводные!K128)</f>
        <v>1.03</v>
      </c>
      <c r="L111" s="5">
        <f>K111 * (1+Вводные!L128)</f>
        <v>1.0609</v>
      </c>
      <c r="M111" s="5">
        <f>L111 * (1+Вводные!M128)</f>
        <v>1.092727</v>
      </c>
      <c r="N111" s="5">
        <f>M111 * (1+Вводные!N128)</f>
        <v>1.1255088100000001</v>
      </c>
      <c r="O111" s="5">
        <f>N111 * (1+Вводные!O128)</f>
        <v>1.1592740743000001</v>
      </c>
      <c r="P111" s="5">
        <f>O111 * (1+Вводные!P128)</f>
        <v>1.1940522965290001</v>
      </c>
      <c r="Q111" s="5">
        <f>P111 * (1+Вводные!Q128)</f>
        <v>1.2298738654248702</v>
      </c>
      <c r="R111" s="5">
        <f>Q111 * (1+Вводные!R128)</f>
        <v>1.2667700813876164</v>
      </c>
      <c r="S111" s="5">
        <f>R111 * (1+Вводные!S128)</f>
        <v>1.3047731838292449</v>
      </c>
      <c r="T111" s="5">
        <f>S111 * (1+Вводные!T128)</f>
        <v>1.3439163793441222</v>
      </c>
      <c r="U111" s="5">
        <f>T111 * (1+Вводные!U128)</f>
        <v>1.3842338707244459</v>
      </c>
      <c r="V111" s="5">
        <f>U111 * (1+Вводные!V128)</f>
        <v>1.4257608868461793</v>
      </c>
      <c r="W111" s="5">
        <f>V111 * (1+Вводные!W128)</f>
        <v>1.4685337134515648</v>
      </c>
      <c r="X111" s="5">
        <f>W111 * (1+Вводные!X128)</f>
        <v>1.5125897248551119</v>
      </c>
      <c r="Y111" s="5">
        <f>X111 * (1+Вводные!Y128)</f>
        <v>1.5579674166007653</v>
      </c>
      <c r="Z111" s="5">
        <f>Y111 * (1+Вводные!Z128)</f>
        <v>1.6047064390987884</v>
      </c>
      <c r="AA111" s="5">
        <f>Z111 * (1+Вводные!AA128)</f>
        <v>1.652847632271752</v>
      </c>
      <c r="AB111" s="5">
        <f>AA111 * (1+Вводные!AB128)</f>
        <v>1.7024330612399046</v>
      </c>
      <c r="AC111" s="5">
        <f>AB111 * (1+Вводные!AC128)</f>
        <v>1.7535060530771018</v>
      </c>
      <c r="AD111" s="5">
        <f>AC111 * (1+Вводные!AD128)</f>
        <v>1.806111234669415</v>
      </c>
      <c r="AE111" s="5">
        <f>AD111 * (1+Вводные!AE128)</f>
        <v>1.8602945717094976</v>
      </c>
      <c r="AF111" s="5">
        <f>AE111 * (1+Вводные!AF128)</f>
        <v>1.9161034088607827</v>
      </c>
      <c r="AG111" s="5">
        <f>AF111 * (1+Вводные!AG128)</f>
        <v>1.9735865111266062</v>
      </c>
      <c r="AH111" s="5">
        <f>AG111 * (1+Вводные!AH128)</f>
        <v>2.0327941064604045</v>
      </c>
      <c r="AI111" s="5">
        <f>AH111 * (1+Вводные!AI128)</f>
        <v>2.0937779296542165</v>
      </c>
      <c r="AJ111" s="5">
        <f>AI111 * (1+Вводные!AJ128)</f>
        <v>2.1565912675438432</v>
      </c>
      <c r="AK111" s="5">
        <f>AJ111 * (1+Вводные!AK128)</f>
        <v>2.2212890055701586</v>
      </c>
      <c r="AL111" s="5">
        <f>AK111 * (1+Вводные!AL128)</f>
        <v>2.2879276757372633</v>
      </c>
      <c r="AM111" s="5">
        <f>AL111 * (1+Вводные!AM128)</f>
        <v>2.3565655060093813</v>
      </c>
      <c r="AN111" s="5">
        <f>AM111 * (1+Вводные!AN128)</f>
        <v>2.4272624711896627</v>
      </c>
      <c r="AO111" s="5">
        <f>AN111 * (1+Вводные!AO128)</f>
        <v>2.5000803453253524</v>
      </c>
      <c r="AP111" s="5">
        <f>AO111 * (1+Вводные!AP128)</f>
        <v>2.5750827556851132</v>
      </c>
      <c r="AQ111" s="5">
        <f>AP111 * (1+Вводные!AQ128)</f>
        <v>2.6523352383556666</v>
      </c>
      <c r="AR111" s="5">
        <f>AQ111 * (1+Вводные!AR128)</f>
        <v>2.7319052955063365</v>
      </c>
      <c r="AS111" s="5">
        <f>AR111 * (1+Вводные!AS128)</f>
        <v>2.8138624543715265</v>
      </c>
      <c r="AT111" s="5">
        <f>AS111 * (1+Вводные!AT128)</f>
        <v>2.8982783280026725</v>
      </c>
      <c r="AU111" s="5">
        <f>AT111 * (1+Вводные!AU128)</f>
        <v>2.9852266778427525</v>
      </c>
      <c r="AV111" s="5">
        <f>AU111 * (1+Вводные!AV128)</f>
        <v>3.074783478178035</v>
      </c>
      <c r="AW111" s="5">
        <f>AV111 * (1+Вводные!AW128)</f>
        <v>3.1670269825233763</v>
      </c>
      <c r="AX111" s="5">
        <f>AW111 * (1+Вводные!AX128)</f>
        <v>3.2620377919990777</v>
      </c>
      <c r="AY111" s="5">
        <f>AX111 * (1+Вводные!AY128)</f>
        <v>3.3598989257590501</v>
      </c>
      <c r="AZ111" s="5">
        <f>AY111 * (1+Вводные!AZ128)</f>
        <v>3.4606958935318217</v>
      </c>
      <c r="BA111" s="5">
        <f>AZ111 * (1+Вводные!BA128)</f>
        <v>3.5645167703377765</v>
      </c>
      <c r="BB111" s="5">
        <f>BA111 * (1+Вводные!BB128)</f>
        <v>3.67145227344791</v>
      </c>
      <c r="BC111" s="5">
        <f>BB111 * (1+Вводные!BC128)</f>
        <v>3.7815958416513475</v>
      </c>
      <c r="BD111" s="5">
        <f>BC111 * (1+Вводные!BD128)</f>
        <v>3.8950437169008882</v>
      </c>
      <c r="BE111" s="5">
        <f>BD111 * (1+Вводные!BE128)</f>
        <v>4.0118950284079151</v>
      </c>
      <c r="BF111" s="5">
        <f>BE111 * (1+Вводные!BF128)</f>
        <v>4.1322518792601528</v>
      </c>
      <c r="BG111" s="5">
        <f>BF111 * (1+Вводные!BG128)</f>
        <v>4.2562194356379575</v>
      </c>
      <c r="BH111" s="5">
        <f>BG111 * (1+Вводные!BH128)</f>
        <v>4.383906018707096</v>
      </c>
      <c r="BI111" s="5">
        <f>BH111 * (1+Вводные!BI128)</f>
        <v>4.5154231992683087</v>
      </c>
      <c r="BJ111" s="5">
        <f>BI111 * (1+Вводные!BJ128)</f>
        <v>4.6508858952463576</v>
      </c>
    </row>
    <row r="112" spans="4:62" x14ac:dyDescent="0.15">
      <c r="D112" s="11" t="str">
        <f>Вводные!$D$129</f>
        <v>Темп роста Детский сад / школа</v>
      </c>
      <c r="E112" s="12" t="s">
        <v>4</v>
      </c>
      <c r="I112" s="23">
        <v>1</v>
      </c>
      <c r="J112" s="5">
        <f>I112 * (1+Вводные!J129)</f>
        <v>1</v>
      </c>
      <c r="K112" s="5">
        <f>J112 * (1+Вводные!K129)</f>
        <v>1.03</v>
      </c>
      <c r="L112" s="5">
        <f>K112 * (1+Вводные!L129)</f>
        <v>1.0609</v>
      </c>
      <c r="M112" s="5">
        <f>L112 * (1+Вводные!M129)</f>
        <v>1.092727</v>
      </c>
      <c r="N112" s="5">
        <f>M112 * (1+Вводные!N129)</f>
        <v>1.1255088100000001</v>
      </c>
      <c r="O112" s="5">
        <f>N112 * (1+Вводные!O129)</f>
        <v>1.1592740743000001</v>
      </c>
      <c r="P112" s="5">
        <f>O112 * (1+Вводные!P129)</f>
        <v>1.1940522965290001</v>
      </c>
      <c r="Q112" s="5">
        <f>P112 * (1+Вводные!Q129)</f>
        <v>1.2298738654248702</v>
      </c>
      <c r="R112" s="5">
        <f>Q112 * (1+Вводные!R129)</f>
        <v>1.2667700813876164</v>
      </c>
      <c r="S112" s="5">
        <f>R112 * (1+Вводные!S129)</f>
        <v>1.3047731838292449</v>
      </c>
      <c r="T112" s="5">
        <f>S112 * (1+Вводные!T129)</f>
        <v>1.3439163793441222</v>
      </c>
      <c r="U112" s="5">
        <f>T112 * (1+Вводные!U129)</f>
        <v>1.3842338707244459</v>
      </c>
      <c r="V112" s="5">
        <f>U112 * (1+Вводные!V129)</f>
        <v>1.4257608868461793</v>
      </c>
      <c r="W112" s="5">
        <f>V112 * (1+Вводные!W129)</f>
        <v>1.4685337134515648</v>
      </c>
      <c r="X112" s="5">
        <f>W112 * (1+Вводные!X129)</f>
        <v>1.5125897248551119</v>
      </c>
      <c r="Y112" s="5">
        <f>X112 * (1+Вводные!Y129)</f>
        <v>1.5579674166007653</v>
      </c>
      <c r="Z112" s="5">
        <f>Y112 * (1+Вводные!Z129)</f>
        <v>1.6047064390987884</v>
      </c>
      <c r="AA112" s="5">
        <f>Z112 * (1+Вводные!AA129)</f>
        <v>1.652847632271752</v>
      </c>
      <c r="AB112" s="5">
        <f>AA112 * (1+Вводные!AB129)</f>
        <v>1.7024330612399046</v>
      </c>
      <c r="AC112" s="5">
        <f>AB112 * (1+Вводные!AC129)</f>
        <v>1.7535060530771018</v>
      </c>
      <c r="AD112" s="5">
        <f>AC112 * (1+Вводные!AD129)</f>
        <v>1.806111234669415</v>
      </c>
      <c r="AE112" s="5">
        <f>AD112 * (1+Вводные!AE129)</f>
        <v>1.8602945717094976</v>
      </c>
      <c r="AF112" s="5">
        <f>AE112 * (1+Вводные!AF129)</f>
        <v>1.9161034088607827</v>
      </c>
      <c r="AG112" s="5">
        <f>AF112 * (1+Вводные!AG129)</f>
        <v>1.9735865111266062</v>
      </c>
      <c r="AH112" s="5">
        <f>AG112 * (1+Вводные!AH129)</f>
        <v>2.0327941064604045</v>
      </c>
      <c r="AI112" s="5">
        <f>AH112 * (1+Вводные!AI129)</f>
        <v>2.0937779296542165</v>
      </c>
      <c r="AJ112" s="5">
        <f>AI112 * (1+Вводные!AJ129)</f>
        <v>2.1565912675438432</v>
      </c>
      <c r="AK112" s="5">
        <f>AJ112 * (1+Вводные!AK129)</f>
        <v>2.2212890055701586</v>
      </c>
      <c r="AL112" s="5">
        <f>AK112 * (1+Вводные!AL129)</f>
        <v>2.2879276757372633</v>
      </c>
      <c r="AM112" s="5">
        <f>AL112 * (1+Вводные!AM129)</f>
        <v>2.3565655060093813</v>
      </c>
      <c r="AN112" s="5">
        <f>AM112 * (1+Вводные!AN129)</f>
        <v>2.4272624711896627</v>
      </c>
      <c r="AO112" s="5">
        <f>AN112 * (1+Вводные!AO129)</f>
        <v>2.5000803453253524</v>
      </c>
      <c r="AP112" s="5">
        <f>AO112 * (1+Вводные!AP129)</f>
        <v>2.5750827556851132</v>
      </c>
      <c r="AQ112" s="5">
        <f>AP112 * (1+Вводные!AQ129)</f>
        <v>2.6523352383556666</v>
      </c>
      <c r="AR112" s="5">
        <f>AQ112 * (1+Вводные!AR129)</f>
        <v>2.7319052955063365</v>
      </c>
      <c r="AS112" s="5">
        <f>AR112 * (1+Вводные!AS129)</f>
        <v>2.8138624543715265</v>
      </c>
      <c r="AT112" s="5">
        <f>AS112 * (1+Вводные!AT129)</f>
        <v>2.8982783280026725</v>
      </c>
      <c r="AU112" s="5">
        <f>AT112 * (1+Вводные!AU129)</f>
        <v>2.9852266778427525</v>
      </c>
      <c r="AV112" s="5">
        <f>AU112 * (1+Вводные!AV129)</f>
        <v>3.074783478178035</v>
      </c>
      <c r="AW112" s="5">
        <f>AV112 * (1+Вводные!AW129)</f>
        <v>3.1670269825233763</v>
      </c>
      <c r="AX112" s="5">
        <f>AW112 * (1+Вводные!AX129)</f>
        <v>3.2620377919990777</v>
      </c>
      <c r="AY112" s="5">
        <f>AX112 * (1+Вводные!AY129)</f>
        <v>3.3598989257590501</v>
      </c>
      <c r="AZ112" s="5">
        <f>AY112 * (1+Вводные!AZ129)</f>
        <v>3.4606958935318217</v>
      </c>
      <c r="BA112" s="5">
        <f>AZ112 * (1+Вводные!BA129)</f>
        <v>3.5645167703377765</v>
      </c>
      <c r="BB112" s="5">
        <f>BA112 * (1+Вводные!BB129)</f>
        <v>3.67145227344791</v>
      </c>
      <c r="BC112" s="5">
        <f>BB112 * (1+Вводные!BC129)</f>
        <v>3.7815958416513475</v>
      </c>
      <c r="BD112" s="5">
        <f>BC112 * (1+Вводные!BD129)</f>
        <v>3.8950437169008882</v>
      </c>
      <c r="BE112" s="5">
        <f>BD112 * (1+Вводные!BE129)</f>
        <v>4.0118950284079151</v>
      </c>
      <c r="BF112" s="5">
        <f>BE112 * (1+Вводные!BF129)</f>
        <v>4.1322518792601528</v>
      </c>
      <c r="BG112" s="5">
        <f>BF112 * (1+Вводные!BG129)</f>
        <v>4.2562194356379575</v>
      </c>
      <c r="BH112" s="5">
        <f>BG112 * (1+Вводные!BH129)</f>
        <v>4.383906018707096</v>
      </c>
      <c r="BI112" s="5">
        <f>BH112 * (1+Вводные!BI129)</f>
        <v>4.5154231992683087</v>
      </c>
      <c r="BJ112" s="5">
        <f>BI112 * (1+Вводные!BJ129)</f>
        <v>4.6508858952463576</v>
      </c>
    </row>
    <row r="113" spans="4:62" x14ac:dyDescent="0.15">
      <c r="D113" s="11" t="str">
        <f>Вводные!$D$130</f>
        <v>Темп роста Страховка по ипотеке</v>
      </c>
      <c r="E113" s="12" t="s">
        <v>4</v>
      </c>
      <c r="I113" s="23">
        <v>1</v>
      </c>
      <c r="J113" s="5">
        <f>I113 * (1+Вводные!J130)</f>
        <v>1</v>
      </c>
      <c r="K113" s="5">
        <f>J113 * (1+Вводные!K130)</f>
        <v>1</v>
      </c>
      <c r="L113" s="5">
        <f>K113 * (1+Вводные!L130)</f>
        <v>1</v>
      </c>
      <c r="M113" s="5">
        <f>L113 * (1+Вводные!M130)</f>
        <v>1</v>
      </c>
      <c r="N113" s="5">
        <f>M113 * (1+Вводные!N130)</f>
        <v>1</v>
      </c>
      <c r="O113" s="5">
        <f>N113 * (1+Вводные!O130)</f>
        <v>1</v>
      </c>
      <c r="P113" s="5">
        <f>O113 * (1+Вводные!P130)</f>
        <v>1</v>
      </c>
      <c r="Q113" s="5">
        <f>P113 * (1+Вводные!Q130)</f>
        <v>1</v>
      </c>
      <c r="R113" s="5">
        <f>Q113 * (1+Вводные!R130)</f>
        <v>1</v>
      </c>
      <c r="S113" s="5">
        <f>R113 * (1+Вводные!S130)</f>
        <v>1</v>
      </c>
      <c r="T113" s="5">
        <f>S113 * (1+Вводные!T130)</f>
        <v>1</v>
      </c>
      <c r="U113" s="5">
        <f>T113 * (1+Вводные!U130)</f>
        <v>1</v>
      </c>
      <c r="V113" s="5">
        <f>U113 * (1+Вводные!V130)</f>
        <v>1</v>
      </c>
      <c r="W113" s="5">
        <f>V113 * (1+Вводные!W130)</f>
        <v>1</v>
      </c>
      <c r="X113" s="5">
        <f>W113 * (1+Вводные!X130)</f>
        <v>1</v>
      </c>
      <c r="Y113" s="5">
        <f>X113 * (1+Вводные!Y130)</f>
        <v>1</v>
      </c>
      <c r="Z113" s="5">
        <f>Y113 * (1+Вводные!Z130)</f>
        <v>1</v>
      </c>
      <c r="AA113" s="5">
        <f>Z113 * (1+Вводные!AA130)</f>
        <v>1</v>
      </c>
      <c r="AB113" s="5">
        <f>AA113 * (1+Вводные!AB130)</f>
        <v>1</v>
      </c>
      <c r="AC113" s="5">
        <f>AB113 * (1+Вводные!AC130)</f>
        <v>1</v>
      </c>
      <c r="AD113" s="5">
        <f>AC113 * (1+Вводные!AD130)</f>
        <v>1</v>
      </c>
      <c r="AE113" s="5">
        <f>AD113 * (1+Вводные!AE130)</f>
        <v>1</v>
      </c>
      <c r="AF113" s="5">
        <f>AE113 * (1+Вводные!AF130)</f>
        <v>1</v>
      </c>
      <c r="AG113" s="5">
        <f>AF113 * (1+Вводные!AG130)</f>
        <v>1</v>
      </c>
      <c r="AH113" s="5">
        <f>AG113 * (1+Вводные!AH130)</f>
        <v>1</v>
      </c>
      <c r="AI113" s="5">
        <f>AH113 * (1+Вводные!AI130)</f>
        <v>1</v>
      </c>
      <c r="AJ113" s="5">
        <f>AI113 * (1+Вводные!AJ130)</f>
        <v>1</v>
      </c>
      <c r="AK113" s="5">
        <f>AJ113 * (1+Вводные!AK130)</f>
        <v>1</v>
      </c>
      <c r="AL113" s="5">
        <f>AK113 * (1+Вводные!AL130)</f>
        <v>1</v>
      </c>
      <c r="AM113" s="5">
        <f>AL113 * (1+Вводные!AM130)</f>
        <v>1</v>
      </c>
      <c r="AN113" s="5">
        <f>AM113 * (1+Вводные!AN130)</f>
        <v>1</v>
      </c>
      <c r="AO113" s="5">
        <f>AN113 * (1+Вводные!AO130)</f>
        <v>1</v>
      </c>
      <c r="AP113" s="5">
        <f>AO113 * (1+Вводные!AP130)</f>
        <v>1</v>
      </c>
      <c r="AQ113" s="5">
        <f>AP113 * (1+Вводные!AQ130)</f>
        <v>1</v>
      </c>
      <c r="AR113" s="5">
        <f>AQ113 * (1+Вводные!AR130)</f>
        <v>1</v>
      </c>
      <c r="AS113" s="5">
        <f>AR113 * (1+Вводные!AS130)</f>
        <v>1</v>
      </c>
      <c r="AT113" s="5">
        <f>AS113 * (1+Вводные!AT130)</f>
        <v>1</v>
      </c>
      <c r="AU113" s="5">
        <f>AT113 * (1+Вводные!AU130)</f>
        <v>1</v>
      </c>
      <c r="AV113" s="5">
        <f>AU113 * (1+Вводные!AV130)</f>
        <v>1</v>
      </c>
      <c r="AW113" s="5">
        <f>AV113 * (1+Вводные!AW130)</f>
        <v>1</v>
      </c>
      <c r="AX113" s="5">
        <f>AW113 * (1+Вводные!AX130)</f>
        <v>1</v>
      </c>
      <c r="AY113" s="5">
        <f>AX113 * (1+Вводные!AY130)</f>
        <v>1</v>
      </c>
      <c r="AZ113" s="5">
        <f>AY113 * (1+Вводные!AZ130)</f>
        <v>1</v>
      </c>
      <c r="BA113" s="5">
        <f>AZ113 * (1+Вводные!BA130)</f>
        <v>1</v>
      </c>
      <c r="BB113" s="5">
        <f>BA113 * (1+Вводные!BB130)</f>
        <v>1</v>
      </c>
      <c r="BC113" s="5">
        <f>BB113 * (1+Вводные!BC130)</f>
        <v>1</v>
      </c>
      <c r="BD113" s="5">
        <f>BC113 * (1+Вводные!BD130)</f>
        <v>1</v>
      </c>
      <c r="BE113" s="5">
        <f>BD113 * (1+Вводные!BE130)</f>
        <v>1</v>
      </c>
      <c r="BF113" s="5">
        <f>BE113 * (1+Вводные!BF130)</f>
        <v>1</v>
      </c>
      <c r="BG113" s="5">
        <f>BF113 * (1+Вводные!BG130)</f>
        <v>1</v>
      </c>
      <c r="BH113" s="5">
        <f>BG113 * (1+Вводные!BH130)</f>
        <v>1</v>
      </c>
      <c r="BI113" s="5">
        <f>BH113 * (1+Вводные!BI130)</f>
        <v>1</v>
      </c>
      <c r="BJ113" s="5">
        <f>BI113 * (1+Вводные!BJ130)</f>
        <v>1</v>
      </c>
    </row>
    <row r="114" spans="4:62" x14ac:dyDescent="0.15">
      <c r="D114" s="11" t="str">
        <f>Вводные!$D$131</f>
        <v>Темп роста Отпуск</v>
      </c>
      <c r="E114" s="12" t="s">
        <v>4</v>
      </c>
      <c r="I114" s="23">
        <v>1</v>
      </c>
      <c r="J114" s="5">
        <f>I114 * (1+Вводные!J131)</f>
        <v>1</v>
      </c>
      <c r="K114" s="5">
        <f>J114 * (1+Вводные!K131)</f>
        <v>1.03</v>
      </c>
      <c r="L114" s="5">
        <f>K114 * (1+Вводные!L131)</f>
        <v>1.0609</v>
      </c>
      <c r="M114" s="5">
        <f>L114 * (1+Вводные!M131)</f>
        <v>1.092727</v>
      </c>
      <c r="N114" s="5">
        <f>M114 * (1+Вводные!N131)</f>
        <v>1.1255088100000001</v>
      </c>
      <c r="O114" s="5">
        <f>N114 * (1+Вводные!O131)</f>
        <v>1.1592740743000001</v>
      </c>
      <c r="P114" s="5">
        <f>O114 * (1+Вводные!P131)</f>
        <v>1.1940522965290001</v>
      </c>
      <c r="Q114" s="5">
        <f>P114 * (1+Вводные!Q131)</f>
        <v>1.2298738654248702</v>
      </c>
      <c r="R114" s="5">
        <f>Q114 * (1+Вводные!R131)</f>
        <v>1.2667700813876164</v>
      </c>
      <c r="S114" s="5">
        <f>R114 * (1+Вводные!S131)</f>
        <v>1.3047731838292449</v>
      </c>
      <c r="T114" s="5">
        <f>S114 * (1+Вводные!T131)</f>
        <v>1.3439163793441222</v>
      </c>
      <c r="U114" s="5">
        <f>T114 * (1+Вводные!U131)</f>
        <v>1.3842338707244459</v>
      </c>
      <c r="V114" s="5">
        <f>U114 * (1+Вводные!V131)</f>
        <v>1.4257608868461793</v>
      </c>
      <c r="W114" s="5">
        <f>V114 * (1+Вводные!W131)</f>
        <v>1.4685337134515648</v>
      </c>
      <c r="X114" s="5">
        <f>W114 * (1+Вводные!X131)</f>
        <v>1.5125897248551119</v>
      </c>
      <c r="Y114" s="5">
        <f>X114 * (1+Вводные!Y131)</f>
        <v>1.5579674166007653</v>
      </c>
      <c r="Z114" s="5">
        <f>Y114 * (1+Вводные!Z131)</f>
        <v>1.6047064390987884</v>
      </c>
      <c r="AA114" s="5">
        <f>Z114 * (1+Вводные!AA131)</f>
        <v>1.652847632271752</v>
      </c>
      <c r="AB114" s="5">
        <f>AA114 * (1+Вводные!AB131)</f>
        <v>1.7024330612399046</v>
      </c>
      <c r="AC114" s="5">
        <f>AB114 * (1+Вводные!AC131)</f>
        <v>1.7535060530771018</v>
      </c>
      <c r="AD114" s="5">
        <f>AC114 * (1+Вводные!AD131)</f>
        <v>1.806111234669415</v>
      </c>
      <c r="AE114" s="5">
        <f>AD114 * (1+Вводные!AE131)</f>
        <v>1.8602945717094976</v>
      </c>
      <c r="AF114" s="5">
        <f>AE114 * (1+Вводные!AF131)</f>
        <v>1.9161034088607827</v>
      </c>
      <c r="AG114" s="5">
        <f>AF114 * (1+Вводные!AG131)</f>
        <v>1.9735865111266062</v>
      </c>
      <c r="AH114" s="5">
        <f>AG114 * (1+Вводные!AH131)</f>
        <v>2.0327941064604045</v>
      </c>
      <c r="AI114" s="5">
        <f>AH114 * (1+Вводные!AI131)</f>
        <v>2.0937779296542165</v>
      </c>
      <c r="AJ114" s="5">
        <f>AI114 * (1+Вводные!AJ131)</f>
        <v>2.1565912675438432</v>
      </c>
      <c r="AK114" s="5">
        <f>AJ114 * (1+Вводные!AK131)</f>
        <v>2.2212890055701586</v>
      </c>
      <c r="AL114" s="5">
        <f>AK114 * (1+Вводные!AL131)</f>
        <v>2.2879276757372633</v>
      </c>
      <c r="AM114" s="5">
        <f>AL114 * (1+Вводные!AM131)</f>
        <v>2.3565655060093813</v>
      </c>
      <c r="AN114" s="5">
        <f>AM114 * (1+Вводные!AN131)</f>
        <v>2.4272624711896627</v>
      </c>
      <c r="AO114" s="5">
        <f>AN114 * (1+Вводные!AO131)</f>
        <v>2.5000803453253524</v>
      </c>
      <c r="AP114" s="5">
        <f>AO114 * (1+Вводные!AP131)</f>
        <v>2.5750827556851132</v>
      </c>
      <c r="AQ114" s="5">
        <f>AP114 * (1+Вводные!AQ131)</f>
        <v>2.6523352383556666</v>
      </c>
      <c r="AR114" s="5">
        <f>AQ114 * (1+Вводные!AR131)</f>
        <v>2.7319052955063365</v>
      </c>
      <c r="AS114" s="5">
        <f>AR114 * (1+Вводные!AS131)</f>
        <v>2.8138624543715265</v>
      </c>
      <c r="AT114" s="5">
        <f>AS114 * (1+Вводные!AT131)</f>
        <v>2.8982783280026725</v>
      </c>
      <c r="AU114" s="5">
        <f>AT114 * (1+Вводные!AU131)</f>
        <v>2.9852266778427525</v>
      </c>
      <c r="AV114" s="5">
        <f>AU114 * (1+Вводные!AV131)</f>
        <v>3.074783478178035</v>
      </c>
      <c r="AW114" s="5">
        <f>AV114 * (1+Вводные!AW131)</f>
        <v>3.1670269825233763</v>
      </c>
      <c r="AX114" s="5">
        <f>AW114 * (1+Вводные!AX131)</f>
        <v>3.2620377919990777</v>
      </c>
      <c r="AY114" s="5">
        <f>AX114 * (1+Вводные!AY131)</f>
        <v>3.3598989257590501</v>
      </c>
      <c r="AZ114" s="5">
        <f>AY114 * (1+Вводные!AZ131)</f>
        <v>3.4606958935318217</v>
      </c>
      <c r="BA114" s="5">
        <f>AZ114 * (1+Вводные!BA131)</f>
        <v>3.5645167703377765</v>
      </c>
      <c r="BB114" s="5">
        <f>BA114 * (1+Вводные!BB131)</f>
        <v>3.67145227344791</v>
      </c>
      <c r="BC114" s="5">
        <f>BB114 * (1+Вводные!BC131)</f>
        <v>3.7815958416513475</v>
      </c>
      <c r="BD114" s="5">
        <f>BC114 * (1+Вводные!BD131)</f>
        <v>3.8950437169008882</v>
      </c>
      <c r="BE114" s="5">
        <f>BD114 * (1+Вводные!BE131)</f>
        <v>4.0118950284079151</v>
      </c>
      <c r="BF114" s="5">
        <f>BE114 * (1+Вводные!BF131)</f>
        <v>4.1322518792601528</v>
      </c>
      <c r="BG114" s="5">
        <f>BF114 * (1+Вводные!BG131)</f>
        <v>4.2562194356379575</v>
      </c>
      <c r="BH114" s="5">
        <f>BG114 * (1+Вводные!BH131)</f>
        <v>4.383906018707096</v>
      </c>
      <c r="BI114" s="5">
        <f>BH114 * (1+Вводные!BI131)</f>
        <v>4.5154231992683087</v>
      </c>
      <c r="BJ114" s="5">
        <f>BI114 * (1+Вводные!BJ131)</f>
        <v>4.6508858952463576</v>
      </c>
    </row>
    <row r="115" spans="4:62" x14ac:dyDescent="0.15">
      <c r="D115" s="11" t="str">
        <f>Вводные!$D$132</f>
        <v xml:space="preserve">Темп роста Долг 2 млн </v>
      </c>
      <c r="E115" s="12" t="s">
        <v>4</v>
      </c>
      <c r="I115" s="23">
        <v>1</v>
      </c>
      <c r="J115" s="5">
        <f>I115 * (1+Вводные!J132)</f>
        <v>1</v>
      </c>
      <c r="K115" s="5">
        <f>J115 * (1+Вводные!K132)</f>
        <v>1</v>
      </c>
      <c r="L115" s="5">
        <f>K115 * (1+Вводные!L132)</f>
        <v>1</v>
      </c>
      <c r="M115" s="5">
        <f>L115 * (1+Вводные!M132)</f>
        <v>1</v>
      </c>
      <c r="N115" s="5">
        <f>M115 * (1+Вводные!N132)</f>
        <v>1</v>
      </c>
      <c r="O115" s="5">
        <f>N115 * (1+Вводные!O132)</f>
        <v>1</v>
      </c>
      <c r="P115" s="5">
        <f>O115 * (1+Вводные!P132)</f>
        <v>1</v>
      </c>
      <c r="Q115" s="5">
        <f>P115 * (1+Вводные!Q132)</f>
        <v>1</v>
      </c>
      <c r="R115" s="5">
        <f>Q115 * (1+Вводные!R132)</f>
        <v>1</v>
      </c>
      <c r="S115" s="5">
        <f>R115 * (1+Вводные!S132)</f>
        <v>1</v>
      </c>
      <c r="T115" s="5">
        <f>S115 * (1+Вводные!T132)</f>
        <v>1</v>
      </c>
      <c r="U115" s="5">
        <f>T115 * (1+Вводные!U132)</f>
        <v>1</v>
      </c>
      <c r="V115" s="5">
        <f>U115 * (1+Вводные!V132)</f>
        <v>1</v>
      </c>
      <c r="W115" s="5">
        <f>V115 * (1+Вводные!W132)</f>
        <v>1</v>
      </c>
      <c r="X115" s="5">
        <f>W115 * (1+Вводные!X132)</f>
        <v>1</v>
      </c>
      <c r="Y115" s="5">
        <f>X115 * (1+Вводные!Y132)</f>
        <v>1</v>
      </c>
      <c r="Z115" s="5">
        <f>Y115 * (1+Вводные!Z132)</f>
        <v>1</v>
      </c>
      <c r="AA115" s="5">
        <f>Z115 * (1+Вводные!AA132)</f>
        <v>1</v>
      </c>
      <c r="AB115" s="5">
        <f>AA115 * (1+Вводные!AB132)</f>
        <v>1</v>
      </c>
      <c r="AC115" s="5">
        <f>AB115 * (1+Вводные!AC132)</f>
        <v>1</v>
      </c>
      <c r="AD115" s="5">
        <f>AC115 * (1+Вводные!AD132)</f>
        <v>1</v>
      </c>
      <c r="AE115" s="5">
        <f>AD115 * (1+Вводные!AE132)</f>
        <v>1</v>
      </c>
      <c r="AF115" s="5">
        <f>AE115 * (1+Вводные!AF132)</f>
        <v>1</v>
      </c>
      <c r="AG115" s="5">
        <f>AF115 * (1+Вводные!AG132)</f>
        <v>1</v>
      </c>
      <c r="AH115" s="5">
        <f>AG115 * (1+Вводные!AH132)</f>
        <v>1</v>
      </c>
      <c r="AI115" s="5">
        <f>AH115 * (1+Вводные!AI132)</f>
        <v>1</v>
      </c>
      <c r="AJ115" s="5">
        <f>AI115 * (1+Вводные!AJ132)</f>
        <v>1</v>
      </c>
      <c r="AK115" s="5">
        <f>AJ115 * (1+Вводные!AK132)</f>
        <v>1</v>
      </c>
      <c r="AL115" s="5">
        <f>AK115 * (1+Вводные!AL132)</f>
        <v>1</v>
      </c>
      <c r="AM115" s="5">
        <f>AL115 * (1+Вводные!AM132)</f>
        <v>1</v>
      </c>
      <c r="AN115" s="5">
        <f>AM115 * (1+Вводные!AN132)</f>
        <v>1</v>
      </c>
      <c r="AO115" s="5">
        <f>AN115 * (1+Вводные!AO132)</f>
        <v>1</v>
      </c>
      <c r="AP115" s="5">
        <f>AO115 * (1+Вводные!AP132)</f>
        <v>1</v>
      </c>
      <c r="AQ115" s="5">
        <f>AP115 * (1+Вводные!AQ132)</f>
        <v>1</v>
      </c>
      <c r="AR115" s="5">
        <f>AQ115 * (1+Вводные!AR132)</f>
        <v>1</v>
      </c>
      <c r="AS115" s="5">
        <f>AR115 * (1+Вводные!AS132)</f>
        <v>1</v>
      </c>
      <c r="AT115" s="5">
        <f>AS115 * (1+Вводные!AT132)</f>
        <v>1</v>
      </c>
      <c r="AU115" s="5">
        <f>AT115 * (1+Вводные!AU132)</f>
        <v>1</v>
      </c>
      <c r="AV115" s="5">
        <f>AU115 * (1+Вводные!AV132)</f>
        <v>1</v>
      </c>
      <c r="AW115" s="5">
        <f>AV115 * (1+Вводные!AW132)</f>
        <v>1</v>
      </c>
      <c r="AX115" s="5">
        <f>AW115 * (1+Вводные!AX132)</f>
        <v>1</v>
      </c>
      <c r="AY115" s="5">
        <f>AX115 * (1+Вводные!AY132)</f>
        <v>1</v>
      </c>
      <c r="AZ115" s="5">
        <f>AY115 * (1+Вводные!AZ132)</f>
        <v>1</v>
      </c>
      <c r="BA115" s="5">
        <f>AZ115 * (1+Вводные!BA132)</f>
        <v>1</v>
      </c>
      <c r="BB115" s="5">
        <f>BA115 * (1+Вводные!BB132)</f>
        <v>1</v>
      </c>
      <c r="BC115" s="5">
        <f>BB115 * (1+Вводные!BC132)</f>
        <v>1</v>
      </c>
      <c r="BD115" s="5">
        <f>BC115 * (1+Вводные!BD132)</f>
        <v>1</v>
      </c>
      <c r="BE115" s="5">
        <f>BD115 * (1+Вводные!BE132)</f>
        <v>1</v>
      </c>
      <c r="BF115" s="5">
        <f>BE115 * (1+Вводные!BF132)</f>
        <v>1</v>
      </c>
      <c r="BG115" s="5">
        <f>BF115 * (1+Вводные!BG132)</f>
        <v>1</v>
      </c>
      <c r="BH115" s="5">
        <f>BG115 * (1+Вводные!BH132)</f>
        <v>1</v>
      </c>
      <c r="BI115" s="5">
        <f>BH115 * (1+Вводные!BI132)</f>
        <v>1</v>
      </c>
      <c r="BJ115" s="5">
        <f>BI115 * (1+Вводные!BJ132)</f>
        <v>1</v>
      </c>
    </row>
    <row r="116" spans="4:62" x14ac:dyDescent="0.15">
      <c r="D116" s="11" t="str">
        <f>Вводные!$D$133</f>
        <v>Темп роста Долг за квартиру</v>
      </c>
      <c r="E116" s="12" t="s">
        <v>4</v>
      </c>
      <c r="I116" s="23">
        <v>1</v>
      </c>
      <c r="J116" s="5">
        <f>I116 * (1+Вводные!J133)</f>
        <v>1</v>
      </c>
      <c r="K116" s="5">
        <f>J116 * (1+Вводные!K133)</f>
        <v>1</v>
      </c>
      <c r="L116" s="5">
        <f>K116 * (1+Вводные!L133)</f>
        <v>1</v>
      </c>
      <c r="M116" s="5">
        <f>L116 * (1+Вводные!M133)</f>
        <v>1</v>
      </c>
      <c r="N116" s="5">
        <f>M116 * (1+Вводные!N133)</f>
        <v>1</v>
      </c>
      <c r="O116" s="5">
        <f>N116 * (1+Вводные!O133)</f>
        <v>1</v>
      </c>
      <c r="P116" s="5">
        <f>O116 * (1+Вводные!P133)</f>
        <v>1</v>
      </c>
      <c r="Q116" s="5">
        <f>P116 * (1+Вводные!Q133)</f>
        <v>1</v>
      </c>
      <c r="R116" s="5">
        <f>Q116 * (1+Вводные!R133)</f>
        <v>1</v>
      </c>
      <c r="S116" s="5">
        <f>R116 * (1+Вводные!S133)</f>
        <v>1</v>
      </c>
      <c r="T116" s="5">
        <f>S116 * (1+Вводные!T133)</f>
        <v>1</v>
      </c>
      <c r="U116" s="5">
        <f>T116 * (1+Вводные!U133)</f>
        <v>1</v>
      </c>
      <c r="V116" s="5">
        <f>U116 * (1+Вводные!V133)</f>
        <v>1</v>
      </c>
      <c r="W116" s="5">
        <f>V116 * (1+Вводные!W133)</f>
        <v>1</v>
      </c>
      <c r="X116" s="5">
        <f>W116 * (1+Вводные!X133)</f>
        <v>1</v>
      </c>
      <c r="Y116" s="5">
        <f>X116 * (1+Вводные!Y133)</f>
        <v>1</v>
      </c>
      <c r="Z116" s="5">
        <f>Y116 * (1+Вводные!Z133)</f>
        <v>1</v>
      </c>
      <c r="AA116" s="5">
        <f>Z116 * (1+Вводные!AA133)</f>
        <v>1</v>
      </c>
      <c r="AB116" s="5">
        <f>AA116 * (1+Вводные!AB133)</f>
        <v>1</v>
      </c>
      <c r="AC116" s="5">
        <f>AB116 * (1+Вводные!AC133)</f>
        <v>1</v>
      </c>
      <c r="AD116" s="5">
        <f>AC116 * (1+Вводные!AD133)</f>
        <v>1</v>
      </c>
      <c r="AE116" s="5">
        <f>AD116 * (1+Вводные!AE133)</f>
        <v>1</v>
      </c>
      <c r="AF116" s="5">
        <f>AE116 * (1+Вводные!AF133)</f>
        <v>1</v>
      </c>
      <c r="AG116" s="5">
        <f>AF116 * (1+Вводные!AG133)</f>
        <v>1</v>
      </c>
      <c r="AH116" s="5">
        <f>AG116 * (1+Вводные!AH133)</f>
        <v>1</v>
      </c>
      <c r="AI116" s="5">
        <f>AH116 * (1+Вводные!AI133)</f>
        <v>1</v>
      </c>
      <c r="AJ116" s="5">
        <f>AI116 * (1+Вводные!AJ133)</f>
        <v>1</v>
      </c>
      <c r="AK116" s="5">
        <f>AJ116 * (1+Вводные!AK133)</f>
        <v>1</v>
      </c>
      <c r="AL116" s="5">
        <f>AK116 * (1+Вводные!AL133)</f>
        <v>1</v>
      </c>
      <c r="AM116" s="5">
        <f>AL116 * (1+Вводные!AM133)</f>
        <v>1</v>
      </c>
      <c r="AN116" s="5">
        <f>AM116 * (1+Вводные!AN133)</f>
        <v>1</v>
      </c>
      <c r="AO116" s="5">
        <f>AN116 * (1+Вводные!AO133)</f>
        <v>1</v>
      </c>
      <c r="AP116" s="5">
        <f>AO116 * (1+Вводные!AP133)</f>
        <v>1</v>
      </c>
      <c r="AQ116" s="5">
        <f>AP116 * (1+Вводные!AQ133)</f>
        <v>1</v>
      </c>
      <c r="AR116" s="5">
        <f>AQ116 * (1+Вводные!AR133)</f>
        <v>1</v>
      </c>
      <c r="AS116" s="5">
        <f>AR116 * (1+Вводные!AS133)</f>
        <v>1</v>
      </c>
      <c r="AT116" s="5">
        <f>AS116 * (1+Вводные!AT133)</f>
        <v>1</v>
      </c>
      <c r="AU116" s="5">
        <f>AT116 * (1+Вводные!AU133)</f>
        <v>1</v>
      </c>
      <c r="AV116" s="5">
        <f>AU116 * (1+Вводные!AV133)</f>
        <v>1</v>
      </c>
      <c r="AW116" s="5">
        <f>AV116 * (1+Вводные!AW133)</f>
        <v>1</v>
      </c>
      <c r="AX116" s="5">
        <f>AW116 * (1+Вводные!AX133)</f>
        <v>1</v>
      </c>
      <c r="AY116" s="5">
        <f>AX116 * (1+Вводные!AY133)</f>
        <v>1</v>
      </c>
      <c r="AZ116" s="5">
        <f>AY116 * (1+Вводные!AZ133)</f>
        <v>1</v>
      </c>
      <c r="BA116" s="5">
        <f>AZ116 * (1+Вводные!BA133)</f>
        <v>1</v>
      </c>
      <c r="BB116" s="5">
        <f>BA116 * (1+Вводные!BB133)</f>
        <v>1</v>
      </c>
      <c r="BC116" s="5">
        <f>BB116 * (1+Вводные!BC133)</f>
        <v>1</v>
      </c>
      <c r="BD116" s="5">
        <f>BC116 * (1+Вводные!BD133)</f>
        <v>1</v>
      </c>
      <c r="BE116" s="5">
        <f>BD116 * (1+Вводные!BE133)</f>
        <v>1</v>
      </c>
      <c r="BF116" s="5">
        <f>BE116 * (1+Вводные!BF133)</f>
        <v>1</v>
      </c>
      <c r="BG116" s="5">
        <f>BF116 * (1+Вводные!BG133)</f>
        <v>1</v>
      </c>
      <c r="BH116" s="5">
        <f>BG116 * (1+Вводные!BH133)</f>
        <v>1</v>
      </c>
      <c r="BI116" s="5">
        <f>BH116 * (1+Вводные!BI133)</f>
        <v>1</v>
      </c>
      <c r="BJ116" s="5">
        <f>BI116 * (1+Вводные!BJ133)</f>
        <v>1</v>
      </c>
    </row>
    <row r="117" spans="4:62" x14ac:dyDescent="0.15">
      <c r="D117" s="11" t="str">
        <f>Вводные!$D$134</f>
        <v>Темп роста Подарки</v>
      </c>
      <c r="E117" s="12" t="s">
        <v>4</v>
      </c>
      <c r="I117" s="23">
        <v>1</v>
      </c>
      <c r="J117" s="5">
        <f>I117 * (1+Вводные!J134)</f>
        <v>1</v>
      </c>
      <c r="K117" s="5">
        <f>J117 * (1+Вводные!K134)</f>
        <v>1.03</v>
      </c>
      <c r="L117" s="5">
        <f>K117 * (1+Вводные!L134)</f>
        <v>1.0609</v>
      </c>
      <c r="M117" s="5">
        <f>L117 * (1+Вводные!M134)</f>
        <v>1.092727</v>
      </c>
      <c r="N117" s="5">
        <f>M117 * (1+Вводные!N134)</f>
        <v>1.1255088100000001</v>
      </c>
      <c r="O117" s="5">
        <f>N117 * (1+Вводные!O134)</f>
        <v>1.1592740743000001</v>
      </c>
      <c r="P117" s="5">
        <f>O117 * (1+Вводные!P134)</f>
        <v>1.1940522965290001</v>
      </c>
      <c r="Q117" s="5">
        <f>P117 * (1+Вводные!Q134)</f>
        <v>1.2298738654248702</v>
      </c>
      <c r="R117" s="5">
        <f>Q117 * (1+Вводные!R134)</f>
        <v>1.2667700813876164</v>
      </c>
      <c r="S117" s="5">
        <f>R117 * (1+Вводные!S134)</f>
        <v>1.3047731838292449</v>
      </c>
      <c r="T117" s="5">
        <f>S117 * (1+Вводные!T134)</f>
        <v>1.3439163793441222</v>
      </c>
      <c r="U117" s="5">
        <f>T117 * (1+Вводные!U134)</f>
        <v>1.3842338707244459</v>
      </c>
      <c r="V117" s="5">
        <f>U117 * (1+Вводные!V134)</f>
        <v>1.4257608868461793</v>
      </c>
      <c r="W117" s="5">
        <f>V117 * (1+Вводные!W134)</f>
        <v>1.4685337134515648</v>
      </c>
      <c r="X117" s="5">
        <f>W117 * (1+Вводные!X134)</f>
        <v>1.5125897248551119</v>
      </c>
      <c r="Y117" s="5">
        <f>X117 * (1+Вводные!Y134)</f>
        <v>1.5579674166007653</v>
      </c>
      <c r="Z117" s="5">
        <f>Y117 * (1+Вводные!Z134)</f>
        <v>1.6047064390987884</v>
      </c>
      <c r="AA117" s="5">
        <f>Z117 * (1+Вводные!AA134)</f>
        <v>1.652847632271752</v>
      </c>
      <c r="AB117" s="5">
        <f>AA117 * (1+Вводные!AB134)</f>
        <v>1.7024330612399046</v>
      </c>
      <c r="AC117" s="5">
        <f>AB117 * (1+Вводные!AC134)</f>
        <v>1.7535060530771018</v>
      </c>
      <c r="AD117" s="5">
        <f>AC117 * (1+Вводные!AD134)</f>
        <v>1.806111234669415</v>
      </c>
      <c r="AE117" s="5">
        <f>AD117 * (1+Вводные!AE134)</f>
        <v>1.8602945717094976</v>
      </c>
      <c r="AF117" s="5">
        <f>AE117 * (1+Вводные!AF134)</f>
        <v>1.9161034088607827</v>
      </c>
      <c r="AG117" s="5">
        <f>AF117 * (1+Вводные!AG134)</f>
        <v>1.9735865111266062</v>
      </c>
      <c r="AH117" s="5">
        <f>AG117 * (1+Вводные!AH134)</f>
        <v>2.0327941064604045</v>
      </c>
      <c r="AI117" s="5">
        <f>AH117 * (1+Вводные!AI134)</f>
        <v>2.0937779296542165</v>
      </c>
      <c r="AJ117" s="5">
        <f>AI117 * (1+Вводные!AJ134)</f>
        <v>2.1565912675438432</v>
      </c>
      <c r="AK117" s="5">
        <f>AJ117 * (1+Вводные!AK134)</f>
        <v>2.2212890055701586</v>
      </c>
      <c r="AL117" s="5">
        <f>AK117 * (1+Вводные!AL134)</f>
        <v>2.2879276757372633</v>
      </c>
      <c r="AM117" s="5">
        <f>AL117 * (1+Вводные!AM134)</f>
        <v>2.3565655060093813</v>
      </c>
      <c r="AN117" s="5">
        <f>AM117 * (1+Вводные!AN134)</f>
        <v>2.4272624711896627</v>
      </c>
      <c r="AO117" s="5">
        <f>AN117 * (1+Вводные!AO134)</f>
        <v>2.5000803453253524</v>
      </c>
      <c r="AP117" s="5">
        <f>AO117 * (1+Вводные!AP134)</f>
        <v>2.5750827556851132</v>
      </c>
      <c r="AQ117" s="5">
        <f>AP117 * (1+Вводные!AQ134)</f>
        <v>2.6523352383556666</v>
      </c>
      <c r="AR117" s="5">
        <f>AQ117 * (1+Вводные!AR134)</f>
        <v>2.7319052955063365</v>
      </c>
      <c r="AS117" s="5">
        <f>AR117 * (1+Вводные!AS134)</f>
        <v>2.8138624543715265</v>
      </c>
      <c r="AT117" s="5">
        <f>AS117 * (1+Вводные!AT134)</f>
        <v>2.8982783280026725</v>
      </c>
      <c r="AU117" s="5">
        <f>AT117 * (1+Вводные!AU134)</f>
        <v>2.9852266778427525</v>
      </c>
      <c r="AV117" s="5">
        <f>AU117 * (1+Вводные!AV134)</f>
        <v>3.074783478178035</v>
      </c>
      <c r="AW117" s="5">
        <f>AV117 * (1+Вводные!AW134)</f>
        <v>3.1670269825233763</v>
      </c>
      <c r="AX117" s="5">
        <f>AW117 * (1+Вводные!AX134)</f>
        <v>3.2620377919990777</v>
      </c>
      <c r="AY117" s="5">
        <f>AX117 * (1+Вводные!AY134)</f>
        <v>3.3598989257590501</v>
      </c>
      <c r="AZ117" s="5">
        <f>AY117 * (1+Вводные!AZ134)</f>
        <v>3.4606958935318217</v>
      </c>
      <c r="BA117" s="5">
        <f>AZ117 * (1+Вводные!BA134)</f>
        <v>3.5645167703377765</v>
      </c>
      <c r="BB117" s="5">
        <f>BA117 * (1+Вводные!BB134)</f>
        <v>3.67145227344791</v>
      </c>
      <c r="BC117" s="5">
        <f>BB117 * (1+Вводные!BC134)</f>
        <v>3.7815958416513475</v>
      </c>
      <c r="BD117" s="5">
        <f>BC117 * (1+Вводные!BD134)</f>
        <v>3.8950437169008882</v>
      </c>
      <c r="BE117" s="5">
        <f>BD117 * (1+Вводные!BE134)</f>
        <v>4.0118950284079151</v>
      </c>
      <c r="BF117" s="5">
        <f>BE117 * (1+Вводные!BF134)</f>
        <v>4.1322518792601528</v>
      </c>
      <c r="BG117" s="5">
        <f>BF117 * (1+Вводные!BG134)</f>
        <v>4.2562194356379575</v>
      </c>
      <c r="BH117" s="5">
        <f>BG117 * (1+Вводные!BH134)</f>
        <v>4.383906018707096</v>
      </c>
      <c r="BI117" s="5">
        <f>BH117 * (1+Вводные!BI134)</f>
        <v>4.5154231992683087</v>
      </c>
      <c r="BJ117" s="5">
        <f>BI117 * (1+Вводные!BJ134)</f>
        <v>4.6508858952463576</v>
      </c>
    </row>
    <row r="118" spans="4:62" x14ac:dyDescent="0.15">
      <c r="D118" s="11" t="str">
        <f>Вводные!$D$135</f>
        <v>Темп роста Ежегодный расход 8</v>
      </c>
      <c r="E118" s="12" t="s">
        <v>4</v>
      </c>
      <c r="I118" s="23">
        <v>1</v>
      </c>
      <c r="J118" s="5">
        <f>I118 * (1+Вводные!J135)</f>
        <v>1</v>
      </c>
      <c r="K118" s="5">
        <f>J118 * (1+Вводные!K135)</f>
        <v>1.03</v>
      </c>
      <c r="L118" s="5">
        <f>K118 * (1+Вводные!L135)</f>
        <v>1.0609</v>
      </c>
      <c r="M118" s="5">
        <f>L118 * (1+Вводные!M135)</f>
        <v>1.092727</v>
      </c>
      <c r="N118" s="5">
        <f>M118 * (1+Вводные!N135)</f>
        <v>1.1255088100000001</v>
      </c>
      <c r="O118" s="5">
        <f>N118 * (1+Вводные!O135)</f>
        <v>1.1592740743000001</v>
      </c>
      <c r="P118" s="5">
        <f>O118 * (1+Вводные!P135)</f>
        <v>1.1940522965290001</v>
      </c>
      <c r="Q118" s="5">
        <f>P118 * (1+Вводные!Q135)</f>
        <v>1.2298738654248702</v>
      </c>
      <c r="R118" s="5">
        <f>Q118 * (1+Вводные!R135)</f>
        <v>1.2667700813876164</v>
      </c>
      <c r="S118" s="5">
        <f>R118 * (1+Вводные!S135)</f>
        <v>1.3047731838292449</v>
      </c>
      <c r="T118" s="5">
        <f>S118 * (1+Вводные!T135)</f>
        <v>1.3439163793441222</v>
      </c>
      <c r="U118" s="5">
        <f>T118 * (1+Вводные!U135)</f>
        <v>1.3842338707244459</v>
      </c>
      <c r="V118" s="5">
        <f>U118 * (1+Вводные!V135)</f>
        <v>1.4257608868461793</v>
      </c>
      <c r="W118" s="5">
        <f>V118 * (1+Вводные!W135)</f>
        <v>1.4685337134515648</v>
      </c>
      <c r="X118" s="5">
        <f>W118 * (1+Вводные!X135)</f>
        <v>1.5125897248551119</v>
      </c>
      <c r="Y118" s="5">
        <f>X118 * (1+Вводные!Y135)</f>
        <v>1.5579674166007653</v>
      </c>
      <c r="Z118" s="5">
        <f>Y118 * (1+Вводные!Z135)</f>
        <v>1.6047064390987884</v>
      </c>
      <c r="AA118" s="5">
        <f>Z118 * (1+Вводные!AA135)</f>
        <v>1.652847632271752</v>
      </c>
      <c r="AB118" s="5">
        <f>AA118 * (1+Вводные!AB135)</f>
        <v>1.7024330612399046</v>
      </c>
      <c r="AC118" s="5">
        <f>AB118 * (1+Вводные!AC135)</f>
        <v>1.7535060530771018</v>
      </c>
      <c r="AD118" s="5">
        <f>AC118 * (1+Вводные!AD135)</f>
        <v>1.806111234669415</v>
      </c>
      <c r="AE118" s="5">
        <f>AD118 * (1+Вводные!AE135)</f>
        <v>1.8602945717094976</v>
      </c>
      <c r="AF118" s="5">
        <f>AE118 * (1+Вводные!AF135)</f>
        <v>1.9161034088607827</v>
      </c>
      <c r="AG118" s="5">
        <f>AF118 * (1+Вводные!AG135)</f>
        <v>1.9735865111266062</v>
      </c>
      <c r="AH118" s="5">
        <f>AG118 * (1+Вводные!AH135)</f>
        <v>2.0327941064604045</v>
      </c>
      <c r="AI118" s="5">
        <f>AH118 * (1+Вводные!AI135)</f>
        <v>2.0937779296542165</v>
      </c>
      <c r="AJ118" s="5">
        <f>AI118 * (1+Вводные!AJ135)</f>
        <v>2.1565912675438432</v>
      </c>
      <c r="AK118" s="5">
        <f>AJ118 * (1+Вводные!AK135)</f>
        <v>2.2212890055701586</v>
      </c>
      <c r="AL118" s="5">
        <f>AK118 * (1+Вводные!AL135)</f>
        <v>2.2879276757372633</v>
      </c>
      <c r="AM118" s="5">
        <f>AL118 * (1+Вводные!AM135)</f>
        <v>2.3565655060093813</v>
      </c>
      <c r="AN118" s="5">
        <f>AM118 * (1+Вводные!AN135)</f>
        <v>2.4272624711896627</v>
      </c>
      <c r="AO118" s="5">
        <f>AN118 * (1+Вводные!AO135)</f>
        <v>2.5000803453253524</v>
      </c>
      <c r="AP118" s="5">
        <f>AO118 * (1+Вводные!AP135)</f>
        <v>2.5750827556851132</v>
      </c>
      <c r="AQ118" s="5">
        <f>AP118 * (1+Вводные!AQ135)</f>
        <v>2.6523352383556666</v>
      </c>
      <c r="AR118" s="5">
        <f>AQ118 * (1+Вводные!AR135)</f>
        <v>2.7319052955063365</v>
      </c>
      <c r="AS118" s="5">
        <f>AR118 * (1+Вводные!AS135)</f>
        <v>2.8138624543715265</v>
      </c>
      <c r="AT118" s="5">
        <f>AS118 * (1+Вводные!AT135)</f>
        <v>2.8982783280026725</v>
      </c>
      <c r="AU118" s="5">
        <f>AT118 * (1+Вводные!AU135)</f>
        <v>2.9852266778427525</v>
      </c>
      <c r="AV118" s="5">
        <f>AU118 * (1+Вводные!AV135)</f>
        <v>3.074783478178035</v>
      </c>
      <c r="AW118" s="5">
        <f>AV118 * (1+Вводные!AW135)</f>
        <v>3.1670269825233763</v>
      </c>
      <c r="AX118" s="5">
        <f>AW118 * (1+Вводные!AX135)</f>
        <v>3.2620377919990777</v>
      </c>
      <c r="AY118" s="5">
        <f>AX118 * (1+Вводные!AY135)</f>
        <v>3.3598989257590501</v>
      </c>
      <c r="AZ118" s="5">
        <f>AY118 * (1+Вводные!AZ135)</f>
        <v>3.4606958935318217</v>
      </c>
      <c r="BA118" s="5">
        <f>AZ118 * (1+Вводные!BA135)</f>
        <v>3.5645167703377765</v>
      </c>
      <c r="BB118" s="5">
        <f>BA118 * (1+Вводные!BB135)</f>
        <v>3.67145227344791</v>
      </c>
      <c r="BC118" s="5">
        <f>BB118 * (1+Вводные!BC135)</f>
        <v>3.7815958416513475</v>
      </c>
      <c r="BD118" s="5">
        <f>BC118 * (1+Вводные!BD135)</f>
        <v>3.8950437169008882</v>
      </c>
      <c r="BE118" s="5">
        <f>BD118 * (1+Вводные!BE135)</f>
        <v>4.0118950284079151</v>
      </c>
      <c r="BF118" s="5">
        <f>BE118 * (1+Вводные!BF135)</f>
        <v>4.1322518792601528</v>
      </c>
      <c r="BG118" s="5">
        <f>BF118 * (1+Вводные!BG135)</f>
        <v>4.2562194356379575</v>
      </c>
      <c r="BH118" s="5">
        <f>BG118 * (1+Вводные!BH135)</f>
        <v>4.383906018707096</v>
      </c>
      <c r="BI118" s="5">
        <f>BH118 * (1+Вводные!BI135)</f>
        <v>4.5154231992683087</v>
      </c>
      <c r="BJ118" s="5">
        <f>BI118 * (1+Вводные!BJ135)</f>
        <v>4.6508858952463576</v>
      </c>
    </row>
    <row r="119" spans="4:62" x14ac:dyDescent="0.15">
      <c r="D119" s="11" t="str">
        <f>Вводные!$D$136</f>
        <v>Темп роста Ежегодный расход 9</v>
      </c>
      <c r="E119" s="12" t="s">
        <v>4</v>
      </c>
      <c r="I119" s="23">
        <v>1</v>
      </c>
      <c r="J119" s="5">
        <f>I119 * (1+Вводные!J136)</f>
        <v>1</v>
      </c>
      <c r="K119" s="5">
        <f>J119 * (1+Вводные!K136)</f>
        <v>1.03</v>
      </c>
      <c r="L119" s="5">
        <f>K119 * (1+Вводные!L136)</f>
        <v>1.0609</v>
      </c>
      <c r="M119" s="5">
        <f>L119 * (1+Вводные!M136)</f>
        <v>1.092727</v>
      </c>
      <c r="N119" s="5">
        <f>M119 * (1+Вводные!N136)</f>
        <v>1.1255088100000001</v>
      </c>
      <c r="O119" s="5">
        <f>N119 * (1+Вводные!O136)</f>
        <v>1.1592740743000001</v>
      </c>
      <c r="P119" s="5">
        <f>O119 * (1+Вводные!P136)</f>
        <v>1.1940522965290001</v>
      </c>
      <c r="Q119" s="5">
        <f>P119 * (1+Вводные!Q136)</f>
        <v>1.2298738654248702</v>
      </c>
      <c r="R119" s="5">
        <f>Q119 * (1+Вводные!R136)</f>
        <v>1.2667700813876164</v>
      </c>
      <c r="S119" s="5">
        <f>R119 * (1+Вводные!S136)</f>
        <v>1.3047731838292449</v>
      </c>
      <c r="T119" s="5">
        <f>S119 * (1+Вводные!T136)</f>
        <v>1.3439163793441222</v>
      </c>
      <c r="U119" s="5">
        <f>T119 * (1+Вводные!U136)</f>
        <v>1.3842338707244459</v>
      </c>
      <c r="V119" s="5">
        <f>U119 * (1+Вводные!V136)</f>
        <v>1.4257608868461793</v>
      </c>
      <c r="W119" s="5">
        <f>V119 * (1+Вводные!W136)</f>
        <v>1.4685337134515648</v>
      </c>
      <c r="X119" s="5">
        <f>W119 * (1+Вводные!X136)</f>
        <v>1.5125897248551119</v>
      </c>
      <c r="Y119" s="5">
        <f>X119 * (1+Вводные!Y136)</f>
        <v>1.5579674166007653</v>
      </c>
      <c r="Z119" s="5">
        <f>Y119 * (1+Вводные!Z136)</f>
        <v>1.6047064390987884</v>
      </c>
      <c r="AA119" s="5">
        <f>Z119 * (1+Вводные!AA136)</f>
        <v>1.652847632271752</v>
      </c>
      <c r="AB119" s="5">
        <f>AA119 * (1+Вводные!AB136)</f>
        <v>1.7024330612399046</v>
      </c>
      <c r="AC119" s="5">
        <f>AB119 * (1+Вводные!AC136)</f>
        <v>1.7535060530771018</v>
      </c>
      <c r="AD119" s="5">
        <f>AC119 * (1+Вводные!AD136)</f>
        <v>1.806111234669415</v>
      </c>
      <c r="AE119" s="5">
        <f>AD119 * (1+Вводные!AE136)</f>
        <v>1.8602945717094976</v>
      </c>
      <c r="AF119" s="5">
        <f>AE119 * (1+Вводные!AF136)</f>
        <v>1.9161034088607827</v>
      </c>
      <c r="AG119" s="5">
        <f>AF119 * (1+Вводные!AG136)</f>
        <v>1.9735865111266062</v>
      </c>
      <c r="AH119" s="5">
        <f>AG119 * (1+Вводные!AH136)</f>
        <v>2.0327941064604045</v>
      </c>
      <c r="AI119" s="5">
        <f>AH119 * (1+Вводные!AI136)</f>
        <v>2.0937779296542165</v>
      </c>
      <c r="AJ119" s="5">
        <f>AI119 * (1+Вводные!AJ136)</f>
        <v>2.1565912675438432</v>
      </c>
      <c r="AK119" s="5">
        <f>AJ119 * (1+Вводные!AK136)</f>
        <v>2.2212890055701586</v>
      </c>
      <c r="AL119" s="5">
        <f>AK119 * (1+Вводные!AL136)</f>
        <v>2.2879276757372633</v>
      </c>
      <c r="AM119" s="5">
        <f>AL119 * (1+Вводные!AM136)</f>
        <v>2.3565655060093813</v>
      </c>
      <c r="AN119" s="5">
        <f>AM119 * (1+Вводные!AN136)</f>
        <v>2.4272624711896627</v>
      </c>
      <c r="AO119" s="5">
        <f>AN119 * (1+Вводные!AO136)</f>
        <v>2.5000803453253524</v>
      </c>
      <c r="AP119" s="5">
        <f>AO119 * (1+Вводные!AP136)</f>
        <v>2.5750827556851132</v>
      </c>
      <c r="AQ119" s="5">
        <f>AP119 * (1+Вводные!AQ136)</f>
        <v>2.6523352383556666</v>
      </c>
      <c r="AR119" s="5">
        <f>AQ119 * (1+Вводные!AR136)</f>
        <v>2.7319052955063365</v>
      </c>
      <c r="AS119" s="5">
        <f>AR119 * (1+Вводные!AS136)</f>
        <v>2.8138624543715265</v>
      </c>
      <c r="AT119" s="5">
        <f>AS119 * (1+Вводные!AT136)</f>
        <v>2.8982783280026725</v>
      </c>
      <c r="AU119" s="5">
        <f>AT119 * (1+Вводные!AU136)</f>
        <v>2.9852266778427525</v>
      </c>
      <c r="AV119" s="5">
        <f>AU119 * (1+Вводные!AV136)</f>
        <v>3.074783478178035</v>
      </c>
      <c r="AW119" s="5">
        <f>AV119 * (1+Вводные!AW136)</f>
        <v>3.1670269825233763</v>
      </c>
      <c r="AX119" s="5">
        <f>AW119 * (1+Вводные!AX136)</f>
        <v>3.2620377919990777</v>
      </c>
      <c r="AY119" s="5">
        <f>AX119 * (1+Вводные!AY136)</f>
        <v>3.3598989257590501</v>
      </c>
      <c r="AZ119" s="5">
        <f>AY119 * (1+Вводные!AZ136)</f>
        <v>3.4606958935318217</v>
      </c>
      <c r="BA119" s="5">
        <f>AZ119 * (1+Вводные!BA136)</f>
        <v>3.5645167703377765</v>
      </c>
      <c r="BB119" s="5">
        <f>BA119 * (1+Вводные!BB136)</f>
        <v>3.67145227344791</v>
      </c>
      <c r="BC119" s="5">
        <f>BB119 * (1+Вводные!BC136)</f>
        <v>3.7815958416513475</v>
      </c>
      <c r="BD119" s="5">
        <f>BC119 * (1+Вводные!BD136)</f>
        <v>3.8950437169008882</v>
      </c>
      <c r="BE119" s="5">
        <f>BD119 * (1+Вводные!BE136)</f>
        <v>4.0118950284079151</v>
      </c>
      <c r="BF119" s="5">
        <f>BE119 * (1+Вводные!BF136)</f>
        <v>4.1322518792601528</v>
      </c>
      <c r="BG119" s="5">
        <f>BF119 * (1+Вводные!BG136)</f>
        <v>4.2562194356379575</v>
      </c>
      <c r="BH119" s="5">
        <f>BG119 * (1+Вводные!BH136)</f>
        <v>4.383906018707096</v>
      </c>
      <c r="BI119" s="5">
        <f>BH119 * (1+Вводные!BI136)</f>
        <v>4.5154231992683087</v>
      </c>
      <c r="BJ119" s="5">
        <f>BI119 * (1+Вводные!BJ136)</f>
        <v>4.6508858952463576</v>
      </c>
    </row>
    <row r="120" spans="4:62" x14ac:dyDescent="0.15">
      <c r="D120" s="11" t="str">
        <f>Вводные!$D$137</f>
        <v>Темп роста Ежегодный расход 10</v>
      </c>
      <c r="E120" s="12" t="s">
        <v>4</v>
      </c>
      <c r="I120" s="23">
        <v>1</v>
      </c>
      <c r="J120" s="5">
        <f>I120 * (1+Вводные!J137)</f>
        <v>1</v>
      </c>
      <c r="K120" s="5">
        <f>J120 * (1+Вводные!K137)</f>
        <v>1.03</v>
      </c>
      <c r="L120" s="5">
        <f>K120 * (1+Вводные!L137)</f>
        <v>1.0609</v>
      </c>
      <c r="M120" s="5">
        <f>L120 * (1+Вводные!M137)</f>
        <v>1.092727</v>
      </c>
      <c r="N120" s="5">
        <f>M120 * (1+Вводные!N137)</f>
        <v>1.1255088100000001</v>
      </c>
      <c r="O120" s="5">
        <f>N120 * (1+Вводные!O137)</f>
        <v>1.1592740743000001</v>
      </c>
      <c r="P120" s="5">
        <f>O120 * (1+Вводные!P137)</f>
        <v>1.1940522965290001</v>
      </c>
      <c r="Q120" s="5">
        <f>P120 * (1+Вводные!Q137)</f>
        <v>1.2298738654248702</v>
      </c>
      <c r="R120" s="5">
        <f>Q120 * (1+Вводные!R137)</f>
        <v>1.2667700813876164</v>
      </c>
      <c r="S120" s="5">
        <f>R120 * (1+Вводные!S137)</f>
        <v>1.3047731838292449</v>
      </c>
      <c r="T120" s="5">
        <f>S120 * (1+Вводные!T137)</f>
        <v>1.3439163793441222</v>
      </c>
      <c r="U120" s="5">
        <f>T120 * (1+Вводные!U137)</f>
        <v>1.3842338707244459</v>
      </c>
      <c r="V120" s="5">
        <f>U120 * (1+Вводные!V137)</f>
        <v>1.4257608868461793</v>
      </c>
      <c r="W120" s="5">
        <f>V120 * (1+Вводные!W137)</f>
        <v>1.4685337134515648</v>
      </c>
      <c r="X120" s="5">
        <f>W120 * (1+Вводные!X137)</f>
        <v>1.5125897248551119</v>
      </c>
      <c r="Y120" s="5">
        <f>X120 * (1+Вводные!Y137)</f>
        <v>1.5579674166007653</v>
      </c>
      <c r="Z120" s="5">
        <f>Y120 * (1+Вводные!Z137)</f>
        <v>1.6047064390987884</v>
      </c>
      <c r="AA120" s="5">
        <f>Z120 * (1+Вводные!AA137)</f>
        <v>1.652847632271752</v>
      </c>
      <c r="AB120" s="5">
        <f>AA120 * (1+Вводные!AB137)</f>
        <v>1.7024330612399046</v>
      </c>
      <c r="AC120" s="5">
        <f>AB120 * (1+Вводные!AC137)</f>
        <v>1.7535060530771018</v>
      </c>
      <c r="AD120" s="5">
        <f>AC120 * (1+Вводные!AD137)</f>
        <v>1.806111234669415</v>
      </c>
      <c r="AE120" s="5">
        <f>AD120 * (1+Вводные!AE137)</f>
        <v>1.8602945717094976</v>
      </c>
      <c r="AF120" s="5">
        <f>AE120 * (1+Вводные!AF137)</f>
        <v>1.9161034088607827</v>
      </c>
      <c r="AG120" s="5">
        <f>AF120 * (1+Вводные!AG137)</f>
        <v>1.9735865111266062</v>
      </c>
      <c r="AH120" s="5">
        <f>AG120 * (1+Вводные!AH137)</f>
        <v>2.0327941064604045</v>
      </c>
      <c r="AI120" s="5">
        <f>AH120 * (1+Вводные!AI137)</f>
        <v>2.0937779296542165</v>
      </c>
      <c r="AJ120" s="5">
        <f>AI120 * (1+Вводные!AJ137)</f>
        <v>2.1565912675438432</v>
      </c>
      <c r="AK120" s="5">
        <f>AJ120 * (1+Вводные!AK137)</f>
        <v>2.2212890055701586</v>
      </c>
      <c r="AL120" s="5">
        <f>AK120 * (1+Вводные!AL137)</f>
        <v>2.2879276757372633</v>
      </c>
      <c r="AM120" s="5">
        <f>AL120 * (1+Вводные!AM137)</f>
        <v>2.3565655060093813</v>
      </c>
      <c r="AN120" s="5">
        <f>AM120 * (1+Вводные!AN137)</f>
        <v>2.4272624711896627</v>
      </c>
      <c r="AO120" s="5">
        <f>AN120 * (1+Вводные!AO137)</f>
        <v>2.5000803453253524</v>
      </c>
      <c r="AP120" s="5">
        <f>AO120 * (1+Вводные!AP137)</f>
        <v>2.5750827556851132</v>
      </c>
      <c r="AQ120" s="5">
        <f>AP120 * (1+Вводные!AQ137)</f>
        <v>2.6523352383556666</v>
      </c>
      <c r="AR120" s="5">
        <f>AQ120 * (1+Вводные!AR137)</f>
        <v>2.7319052955063365</v>
      </c>
      <c r="AS120" s="5">
        <f>AR120 * (1+Вводные!AS137)</f>
        <v>2.8138624543715265</v>
      </c>
      <c r="AT120" s="5">
        <f>AS120 * (1+Вводные!AT137)</f>
        <v>2.8982783280026725</v>
      </c>
      <c r="AU120" s="5">
        <f>AT120 * (1+Вводные!AU137)</f>
        <v>2.9852266778427525</v>
      </c>
      <c r="AV120" s="5">
        <f>AU120 * (1+Вводные!AV137)</f>
        <v>3.074783478178035</v>
      </c>
      <c r="AW120" s="5">
        <f>AV120 * (1+Вводные!AW137)</f>
        <v>3.1670269825233763</v>
      </c>
      <c r="AX120" s="5">
        <f>AW120 * (1+Вводные!AX137)</f>
        <v>3.2620377919990777</v>
      </c>
      <c r="AY120" s="5">
        <f>AX120 * (1+Вводные!AY137)</f>
        <v>3.3598989257590501</v>
      </c>
      <c r="AZ120" s="5">
        <f>AY120 * (1+Вводные!AZ137)</f>
        <v>3.4606958935318217</v>
      </c>
      <c r="BA120" s="5">
        <f>AZ120 * (1+Вводные!BA137)</f>
        <v>3.5645167703377765</v>
      </c>
      <c r="BB120" s="5">
        <f>BA120 * (1+Вводные!BB137)</f>
        <v>3.67145227344791</v>
      </c>
      <c r="BC120" s="5">
        <f>BB120 * (1+Вводные!BC137)</f>
        <v>3.7815958416513475</v>
      </c>
      <c r="BD120" s="5">
        <f>BC120 * (1+Вводные!BD137)</f>
        <v>3.8950437169008882</v>
      </c>
      <c r="BE120" s="5">
        <f>BD120 * (1+Вводные!BE137)</f>
        <v>4.0118950284079151</v>
      </c>
      <c r="BF120" s="5">
        <f>BE120 * (1+Вводные!BF137)</f>
        <v>4.1322518792601528</v>
      </c>
      <c r="BG120" s="5">
        <f>BF120 * (1+Вводные!BG137)</f>
        <v>4.2562194356379575</v>
      </c>
      <c r="BH120" s="5">
        <f>BG120 * (1+Вводные!BH137)</f>
        <v>4.383906018707096</v>
      </c>
      <c r="BI120" s="5">
        <f>BH120 * (1+Вводные!BI137)</f>
        <v>4.5154231992683087</v>
      </c>
      <c r="BJ120" s="5">
        <f>BI120 * (1+Вводные!BJ137)</f>
        <v>4.6508858952463576</v>
      </c>
    </row>
    <row r="121" spans="4:62" x14ac:dyDescent="0.15">
      <c r="E121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21D58-4B68-4678-A6E6-5813BD8AADAD}">
  <sheetPr>
    <tabColor theme="0" tint="-0.249977111117893"/>
  </sheetPr>
  <dimension ref="A2:BM90"/>
  <sheetViews>
    <sheetView showGridLines="0" zoomScale="150" zoomScaleNormal="150" workbookViewId="0">
      <pane xSplit="7" ySplit="6" topLeftCell="H29" activePane="bottomRight" state="frozen"/>
      <selection activeCell="D12" sqref="D12:M25"/>
      <selection pane="topRight" activeCell="D12" sqref="D12:M25"/>
      <selection pane="bottomLeft" activeCell="D12" sqref="D12:M25"/>
      <selection pane="bottomRight" activeCell="D12" sqref="D12:M25"/>
    </sheetView>
  </sheetViews>
  <sheetFormatPr baseColWidth="10" defaultColWidth="0" defaultRowHeight="11" x14ac:dyDescent="0.15"/>
  <cols>
    <col min="1" max="1" width="2.75" customWidth="1"/>
    <col min="2" max="3" width="3.75" customWidth="1"/>
    <col min="4" max="4" width="40.75" customWidth="1"/>
    <col min="5" max="7" width="9" customWidth="1"/>
    <col min="8" max="8" width="2.75" customWidth="1"/>
    <col min="9" max="62" width="10.75" customWidth="1"/>
    <col min="63" max="63" width="9" customWidth="1"/>
    <col min="64" max="65" width="0" hidden="1" customWidth="1"/>
    <col min="66" max="16384" width="9" hidden="1"/>
  </cols>
  <sheetData>
    <row r="2" spans="2:62" x14ac:dyDescent="0.15">
      <c r="E2" s="12"/>
    </row>
    <row r="3" spans="2:62" x14ac:dyDescent="0.15">
      <c r="D3" s="8" t="str">
        <f>Вводные!D3</f>
        <v>Год</v>
      </c>
      <c r="E3" s="12"/>
      <c r="J3" s="8">
        <f>Вводные!J3</f>
        <v>2024</v>
      </c>
      <c r="K3" s="8">
        <f>Вводные!K3</f>
        <v>2025</v>
      </c>
      <c r="L3" s="8">
        <f>Вводные!L3</f>
        <v>2026</v>
      </c>
      <c r="M3" s="8">
        <f>Вводные!M3</f>
        <v>2027</v>
      </c>
      <c r="N3" s="8">
        <f>Вводные!N3</f>
        <v>2028</v>
      </c>
      <c r="O3" s="8">
        <f>Вводные!O3</f>
        <v>2029</v>
      </c>
      <c r="P3" s="8">
        <f>Вводные!P3</f>
        <v>2030</v>
      </c>
      <c r="Q3" s="8">
        <f>Вводные!Q3</f>
        <v>2031</v>
      </c>
      <c r="R3" s="8">
        <f>Вводные!R3</f>
        <v>2032</v>
      </c>
      <c r="S3" s="8">
        <f>Вводные!S3</f>
        <v>2033</v>
      </c>
      <c r="T3" s="8">
        <f>Вводные!T3</f>
        <v>2034</v>
      </c>
      <c r="U3" s="8">
        <f>Вводные!U3</f>
        <v>2035</v>
      </c>
      <c r="V3" s="8">
        <f>Вводные!V3</f>
        <v>2036</v>
      </c>
      <c r="W3" s="8">
        <f>Вводные!W3</f>
        <v>2037</v>
      </c>
      <c r="X3" s="8">
        <f>Вводные!X3</f>
        <v>2038</v>
      </c>
      <c r="Y3" s="8">
        <f>Вводные!Y3</f>
        <v>2039</v>
      </c>
      <c r="Z3" s="8">
        <f>Вводные!Z3</f>
        <v>2040</v>
      </c>
      <c r="AA3" s="8">
        <f>Вводные!AA3</f>
        <v>2041</v>
      </c>
      <c r="AB3" s="8">
        <f>Вводные!AB3</f>
        <v>2042</v>
      </c>
      <c r="AC3" s="8">
        <f>Вводные!AC3</f>
        <v>2043</v>
      </c>
      <c r="AD3" s="8">
        <f>Вводные!AD3</f>
        <v>2044</v>
      </c>
      <c r="AE3" s="8">
        <f>Вводные!AE3</f>
        <v>2045</v>
      </c>
      <c r="AF3" s="8">
        <f>Вводные!AF3</f>
        <v>2046</v>
      </c>
      <c r="AG3" s="8">
        <f>Вводные!AG3</f>
        <v>2047</v>
      </c>
      <c r="AH3" s="8">
        <f>Вводные!AH3</f>
        <v>2048</v>
      </c>
      <c r="AI3" s="8">
        <f>Вводные!AI3</f>
        <v>2049</v>
      </c>
      <c r="AJ3" s="8">
        <f>Вводные!AJ3</f>
        <v>2050</v>
      </c>
      <c r="AK3" s="8">
        <f>Вводные!AK3</f>
        <v>2051</v>
      </c>
      <c r="AL3" s="8">
        <f>Вводные!AL3</f>
        <v>2052</v>
      </c>
      <c r="AM3" s="8">
        <f>Вводные!AM3</f>
        <v>2053</v>
      </c>
      <c r="AN3" s="8">
        <f>Вводные!AN3</f>
        <v>2054</v>
      </c>
      <c r="AO3" s="8">
        <f>Вводные!AO3</f>
        <v>2055</v>
      </c>
      <c r="AP3" s="8">
        <f>Вводные!AP3</f>
        <v>2056</v>
      </c>
      <c r="AQ3" s="8">
        <f>Вводные!AQ3</f>
        <v>2057</v>
      </c>
      <c r="AR3" s="8">
        <f>Вводные!AR3</f>
        <v>2058</v>
      </c>
      <c r="AS3" s="8">
        <f>Вводные!AS3</f>
        <v>2059</v>
      </c>
      <c r="AT3" s="8">
        <f>Вводные!AT3</f>
        <v>2060</v>
      </c>
      <c r="AU3" s="8">
        <f>Вводные!AU3</f>
        <v>2061</v>
      </c>
      <c r="AV3" s="8">
        <f>Вводные!AV3</f>
        <v>2062</v>
      </c>
      <c r="AW3" s="8">
        <f>Вводные!AW3</f>
        <v>2063</v>
      </c>
      <c r="AX3" s="8">
        <f>Вводные!AX3</f>
        <v>2064</v>
      </c>
      <c r="AY3" s="8">
        <f>Вводные!AY3</f>
        <v>2065</v>
      </c>
      <c r="AZ3" s="8">
        <f>Вводные!AZ3</f>
        <v>2066</v>
      </c>
      <c r="BA3" s="8">
        <f>Вводные!BA3</f>
        <v>2067</v>
      </c>
      <c r="BB3" s="8">
        <f>Вводные!BB3</f>
        <v>2068</v>
      </c>
      <c r="BC3" s="8">
        <f>Вводные!BC3</f>
        <v>2069</v>
      </c>
      <c r="BD3" s="8">
        <f>Вводные!BD3</f>
        <v>2070</v>
      </c>
      <c r="BE3" s="8">
        <f>Вводные!BE3</f>
        <v>2071</v>
      </c>
      <c r="BF3" s="8">
        <f>Вводные!BF3</f>
        <v>2072</v>
      </c>
      <c r="BG3" s="8">
        <f>Вводные!BG3</f>
        <v>2073</v>
      </c>
      <c r="BH3" s="8">
        <f>Вводные!BH3</f>
        <v>2074</v>
      </c>
      <c r="BI3" s="8">
        <f>Вводные!BI3</f>
        <v>2075</v>
      </c>
      <c r="BJ3" s="8">
        <f>Вводные!BJ3</f>
        <v>2076</v>
      </c>
    </row>
    <row r="4" spans="2:62" x14ac:dyDescent="0.15">
      <c r="D4" t="str">
        <f>Вводные!D4</f>
        <v>Возраст</v>
      </c>
      <c r="E4" s="12"/>
      <c r="J4">
        <f>Вводные!J4</f>
        <v>31</v>
      </c>
      <c r="K4">
        <f>Вводные!K4</f>
        <v>32</v>
      </c>
      <c r="L4">
        <f>Вводные!L4</f>
        <v>33</v>
      </c>
      <c r="M4">
        <f>Вводные!M4</f>
        <v>34</v>
      </c>
      <c r="N4">
        <f>Вводные!N4</f>
        <v>35</v>
      </c>
      <c r="O4">
        <f>Вводные!O4</f>
        <v>36</v>
      </c>
      <c r="P4">
        <f>Вводные!P4</f>
        <v>37</v>
      </c>
      <c r="Q4">
        <f>Вводные!Q4</f>
        <v>38</v>
      </c>
      <c r="R4">
        <f>Вводные!R4</f>
        <v>39</v>
      </c>
      <c r="S4">
        <f>Вводные!S4</f>
        <v>40</v>
      </c>
      <c r="T4">
        <f>Вводные!T4</f>
        <v>41</v>
      </c>
      <c r="U4">
        <f>Вводные!U4</f>
        <v>42</v>
      </c>
      <c r="V4">
        <f>Вводные!V4</f>
        <v>43</v>
      </c>
      <c r="W4">
        <f>Вводные!W4</f>
        <v>44</v>
      </c>
      <c r="X4">
        <f>Вводные!X4</f>
        <v>45</v>
      </c>
      <c r="Y4">
        <f>Вводные!Y4</f>
        <v>46</v>
      </c>
      <c r="Z4">
        <f>Вводные!Z4</f>
        <v>47</v>
      </c>
      <c r="AA4">
        <f>Вводные!AA4</f>
        <v>48</v>
      </c>
      <c r="AB4">
        <f>Вводные!AB4</f>
        <v>49</v>
      </c>
      <c r="AC4">
        <f>Вводные!AC4</f>
        <v>50</v>
      </c>
      <c r="AD4">
        <f>Вводные!AD4</f>
        <v>51</v>
      </c>
      <c r="AE4">
        <f>Вводные!AE4</f>
        <v>52</v>
      </c>
      <c r="AF4">
        <f>Вводные!AF4</f>
        <v>53</v>
      </c>
      <c r="AG4">
        <f>Вводные!AG4</f>
        <v>54</v>
      </c>
      <c r="AH4">
        <f>Вводные!AH4</f>
        <v>55</v>
      </c>
      <c r="AI4">
        <f>Вводные!AI4</f>
        <v>56</v>
      </c>
      <c r="AJ4">
        <f>Вводные!AJ4</f>
        <v>57</v>
      </c>
      <c r="AK4">
        <f>Вводные!AK4</f>
        <v>58</v>
      </c>
      <c r="AL4">
        <f>Вводные!AL4</f>
        <v>59</v>
      </c>
      <c r="AM4">
        <f>Вводные!AM4</f>
        <v>60</v>
      </c>
      <c r="AN4">
        <f>Вводные!AN4</f>
        <v>61</v>
      </c>
      <c r="AO4">
        <f>Вводные!AO4</f>
        <v>62</v>
      </c>
      <c r="AP4">
        <f>Вводные!AP4</f>
        <v>63</v>
      </c>
      <c r="AQ4">
        <f>Вводные!AQ4</f>
        <v>64</v>
      </c>
      <c r="AR4">
        <f>Вводные!AR4</f>
        <v>65</v>
      </c>
      <c r="AS4">
        <f>Вводные!AS4</f>
        <v>66</v>
      </c>
      <c r="AT4">
        <f>Вводные!AT4</f>
        <v>67</v>
      </c>
      <c r="AU4">
        <f>Вводные!AU4</f>
        <v>68</v>
      </c>
      <c r="AV4">
        <f>Вводные!AV4</f>
        <v>69</v>
      </c>
      <c r="AW4">
        <f>Вводные!AW4</f>
        <v>70</v>
      </c>
      <c r="AX4">
        <f>Вводные!AX4</f>
        <v>71</v>
      </c>
      <c r="AY4">
        <f>Вводные!AY4</f>
        <v>72</v>
      </c>
      <c r="AZ4">
        <f>Вводные!AZ4</f>
        <v>73</v>
      </c>
      <c r="BA4">
        <f>Вводные!BA4</f>
        <v>74</v>
      </c>
      <c r="BB4">
        <f>Вводные!BB4</f>
        <v>75</v>
      </c>
      <c r="BC4">
        <f>Вводные!BC4</f>
        <v>76</v>
      </c>
      <c r="BD4">
        <f>Вводные!BD4</f>
        <v>77</v>
      </c>
      <c r="BE4">
        <f>Вводные!BE4</f>
        <v>78</v>
      </c>
      <c r="BF4">
        <f>Вводные!BF4</f>
        <v>79</v>
      </c>
      <c r="BG4">
        <f>Вводные!BG4</f>
        <v>80</v>
      </c>
      <c r="BH4">
        <f>Вводные!BH4</f>
        <v>81</v>
      </c>
      <c r="BI4">
        <f>Вводные!BI4</f>
        <v>82</v>
      </c>
      <c r="BJ4">
        <f>Вводные!BJ4</f>
        <v>83</v>
      </c>
    </row>
    <row r="5" spans="2:62" x14ac:dyDescent="0.15">
      <c r="D5" t="str">
        <f>Вводные!D5</f>
        <v>№ периода</v>
      </c>
      <c r="E5" s="12"/>
      <c r="J5">
        <f>Вводные!J5</f>
        <v>1</v>
      </c>
      <c r="K5">
        <f>Вводные!K5</f>
        <v>2</v>
      </c>
      <c r="L5">
        <f>Вводные!L5</f>
        <v>3</v>
      </c>
      <c r="M5">
        <f>Вводные!M5</f>
        <v>4</v>
      </c>
      <c r="N5">
        <f>Вводные!N5</f>
        <v>5</v>
      </c>
      <c r="O5">
        <f>Вводные!O5</f>
        <v>6</v>
      </c>
      <c r="P5">
        <f>Вводные!P5</f>
        <v>7</v>
      </c>
      <c r="Q5">
        <f>Вводные!Q5</f>
        <v>8</v>
      </c>
      <c r="R5">
        <f>Вводные!R5</f>
        <v>9</v>
      </c>
      <c r="S5">
        <f>Вводные!S5</f>
        <v>10</v>
      </c>
      <c r="T5">
        <f>Вводные!T5</f>
        <v>11</v>
      </c>
      <c r="U5">
        <f>Вводные!U5</f>
        <v>12</v>
      </c>
      <c r="V5">
        <f>Вводные!V5</f>
        <v>13</v>
      </c>
      <c r="W5">
        <f>Вводные!W5</f>
        <v>14</v>
      </c>
      <c r="X5">
        <f>Вводные!X5</f>
        <v>15</v>
      </c>
      <c r="Y5">
        <f>Вводные!Y5</f>
        <v>16</v>
      </c>
      <c r="Z5">
        <f>Вводные!Z5</f>
        <v>17</v>
      </c>
      <c r="AA5">
        <f>Вводные!AA5</f>
        <v>18</v>
      </c>
      <c r="AB5">
        <f>Вводные!AB5</f>
        <v>19</v>
      </c>
      <c r="AC5">
        <f>Вводные!AC5</f>
        <v>20</v>
      </c>
      <c r="AD5">
        <f>Вводные!AD5</f>
        <v>21</v>
      </c>
      <c r="AE5">
        <f>Вводные!AE5</f>
        <v>22</v>
      </c>
      <c r="AF5">
        <f>Вводные!AF5</f>
        <v>23</v>
      </c>
      <c r="AG5">
        <f>Вводные!AG5</f>
        <v>24</v>
      </c>
      <c r="AH5">
        <f>Вводные!AH5</f>
        <v>25</v>
      </c>
      <c r="AI5">
        <f>Вводные!AI5</f>
        <v>26</v>
      </c>
      <c r="AJ5">
        <f>Вводные!AJ5</f>
        <v>27</v>
      </c>
      <c r="AK5">
        <f>Вводные!AK5</f>
        <v>28</v>
      </c>
      <c r="AL5">
        <f>Вводные!AL5</f>
        <v>29</v>
      </c>
      <c r="AM5">
        <f>Вводные!AM5</f>
        <v>30</v>
      </c>
      <c r="AN5">
        <f>Вводные!AN5</f>
        <v>31</v>
      </c>
      <c r="AO5">
        <f>Вводные!AO5</f>
        <v>32</v>
      </c>
      <c r="AP5">
        <f>Вводные!AP5</f>
        <v>33</v>
      </c>
      <c r="AQ5">
        <f>Вводные!AQ5</f>
        <v>34</v>
      </c>
      <c r="AR5">
        <f>Вводные!AR5</f>
        <v>35</v>
      </c>
      <c r="AS5">
        <f>Вводные!AS5</f>
        <v>36</v>
      </c>
      <c r="AT5">
        <f>Вводные!AT5</f>
        <v>37</v>
      </c>
      <c r="AU5">
        <f>Вводные!AU5</f>
        <v>38</v>
      </c>
      <c r="AV5">
        <f>Вводные!AV5</f>
        <v>39</v>
      </c>
      <c r="AW5">
        <f>Вводные!AW5</f>
        <v>40</v>
      </c>
      <c r="AX5">
        <f>Вводные!AX5</f>
        <v>41</v>
      </c>
      <c r="AY5">
        <f>Вводные!AY5</f>
        <v>42</v>
      </c>
      <c r="AZ5">
        <f>Вводные!AZ5</f>
        <v>43</v>
      </c>
      <c r="BA5">
        <f>Вводные!BA5</f>
        <v>44</v>
      </c>
      <c r="BB5">
        <f>Вводные!BB5</f>
        <v>45</v>
      </c>
      <c r="BC5">
        <f>Вводные!BC5</f>
        <v>46</v>
      </c>
      <c r="BD5">
        <f>Вводные!BD5</f>
        <v>47</v>
      </c>
      <c r="BE5">
        <f>Вводные!BE5</f>
        <v>48</v>
      </c>
      <c r="BF5">
        <f>Вводные!BF5</f>
        <v>49</v>
      </c>
      <c r="BG5">
        <f>Вводные!BG5</f>
        <v>50</v>
      </c>
      <c r="BH5">
        <f>Вводные!BH5</f>
        <v>51</v>
      </c>
      <c r="BI5">
        <f>Вводные!BI5</f>
        <v>52</v>
      </c>
      <c r="BJ5">
        <f>Вводные!BJ5</f>
        <v>53</v>
      </c>
    </row>
    <row r="6" spans="2:62" x14ac:dyDescent="0.15">
      <c r="E6" s="12"/>
    </row>
    <row r="7" spans="2:62" x14ac:dyDescent="0.15">
      <c r="E7" s="12"/>
    </row>
    <row r="8" spans="2:62" ht="12" x14ac:dyDescent="0.15">
      <c r="B8" s="1">
        <f>MAX( $B5:B$7 ) + 1</f>
        <v>1</v>
      </c>
      <c r="C8" s="1"/>
      <c r="D8" s="1" t="s">
        <v>25</v>
      </c>
      <c r="E8" s="1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</row>
    <row r="9" spans="2:62" x14ac:dyDescent="0.15">
      <c r="E9" s="12"/>
    </row>
    <row r="10" spans="2:62" x14ac:dyDescent="0.15">
      <c r="C10" s="2">
        <f>MAX( $B$7:C9 ) + 0.1</f>
        <v>1.1000000000000001</v>
      </c>
      <c r="D10" s="2" t="s">
        <v>39</v>
      </c>
      <c r="E10" s="1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</row>
    <row r="11" spans="2:62" x14ac:dyDescent="0.15">
      <c r="E11" s="12"/>
    </row>
    <row r="12" spans="2:62" x14ac:dyDescent="0.15">
      <c r="D12" s="8" t="s">
        <v>27</v>
      </c>
      <c r="E12" s="12"/>
    </row>
    <row r="13" spans="2:62" x14ac:dyDescent="0.15">
      <c r="C13" t="s">
        <v>35</v>
      </c>
      <c r="D13" s="11" t="str">
        <f>Вводные!$D$180</f>
        <v>Ежемесячный расход на цели 1</v>
      </c>
      <c r="E13" s="12" t="s">
        <v>37</v>
      </c>
      <c r="J13" s="3">
        <f>IF( AND(J$3 &gt;= Вводные!$F232, J$3 &lt;= Вводные!$G232), 1, 0)</f>
        <v>1</v>
      </c>
      <c r="K13" s="3">
        <f>IF( AND(K$3 &gt;= Вводные!$F232, K$3 &lt;= Вводные!$G232), 1, 0)</f>
        <v>1</v>
      </c>
      <c r="L13" s="3">
        <f>IF( AND(L$3 &gt;= Вводные!$F232, L$3 &lt;= Вводные!$G232), 1, 0)</f>
        <v>1</v>
      </c>
      <c r="M13" s="3">
        <f>IF( AND(M$3 &gt;= Вводные!$F232, M$3 &lt;= Вводные!$G232), 1, 0)</f>
        <v>1</v>
      </c>
      <c r="N13" s="3">
        <f>IF( AND(N$3 &gt;= Вводные!$F232, N$3 &lt;= Вводные!$G232), 1, 0)</f>
        <v>1</v>
      </c>
      <c r="O13" s="3">
        <f>IF( AND(O$3 &gt;= Вводные!$F232, O$3 &lt;= Вводные!$G232), 1, 0)</f>
        <v>1</v>
      </c>
      <c r="P13" s="3">
        <f>IF( AND(P$3 &gt;= Вводные!$F232, P$3 &lt;= Вводные!$G232), 1, 0)</f>
        <v>1</v>
      </c>
      <c r="Q13" s="3">
        <f>IF( AND(Q$3 &gt;= Вводные!$F232, Q$3 &lt;= Вводные!$G232), 1, 0)</f>
        <v>1</v>
      </c>
      <c r="R13" s="3">
        <f>IF( AND(R$3 &gt;= Вводные!$F232, R$3 &lt;= Вводные!$G232), 1, 0)</f>
        <v>1</v>
      </c>
      <c r="S13" s="3">
        <f>IF( AND(S$3 &gt;= Вводные!$F232, S$3 &lt;= Вводные!$G232), 1, 0)</f>
        <v>1</v>
      </c>
      <c r="T13" s="3">
        <f>IF( AND(T$3 &gt;= Вводные!$F232, T$3 &lt;= Вводные!$G232), 1, 0)</f>
        <v>1</v>
      </c>
      <c r="U13" s="3">
        <f>IF( AND(U$3 &gt;= Вводные!$F232, U$3 &lt;= Вводные!$G232), 1, 0)</f>
        <v>1</v>
      </c>
      <c r="V13" s="3">
        <f>IF( AND(V$3 &gt;= Вводные!$F232, V$3 &lt;= Вводные!$G232), 1, 0)</f>
        <v>1</v>
      </c>
      <c r="W13" s="3">
        <f>IF( AND(W$3 &gt;= Вводные!$F232, W$3 &lt;= Вводные!$G232), 1, 0)</f>
        <v>1</v>
      </c>
      <c r="X13" s="3">
        <f>IF( AND(X$3 &gt;= Вводные!$F232, X$3 &lt;= Вводные!$G232), 1, 0)</f>
        <v>1</v>
      </c>
      <c r="Y13" s="3">
        <f>IF( AND(Y$3 &gt;= Вводные!$F232, Y$3 &lt;= Вводные!$G232), 1, 0)</f>
        <v>1</v>
      </c>
      <c r="Z13" s="3">
        <f>IF( AND(Z$3 &gt;= Вводные!$F232, Z$3 &lt;= Вводные!$G232), 1, 0)</f>
        <v>1</v>
      </c>
      <c r="AA13" s="3">
        <f>IF( AND(AA$3 &gt;= Вводные!$F232, AA$3 &lt;= Вводные!$G232), 1, 0)</f>
        <v>1</v>
      </c>
      <c r="AB13" s="3">
        <f>IF( AND(AB$3 &gt;= Вводные!$F232, AB$3 &lt;= Вводные!$G232), 1, 0)</f>
        <v>1</v>
      </c>
      <c r="AC13" s="3">
        <f>IF( AND(AC$3 &gt;= Вводные!$F232, AC$3 &lt;= Вводные!$G232), 1, 0)</f>
        <v>1</v>
      </c>
      <c r="AD13" s="3">
        <f>IF( AND(AD$3 &gt;= Вводные!$F232, AD$3 &lt;= Вводные!$G232), 1, 0)</f>
        <v>1</v>
      </c>
      <c r="AE13" s="3">
        <f>IF( AND(AE$3 &gt;= Вводные!$F232, AE$3 &lt;= Вводные!$G232), 1, 0)</f>
        <v>1</v>
      </c>
      <c r="AF13" s="3">
        <f>IF( AND(AF$3 &gt;= Вводные!$F232, AF$3 &lt;= Вводные!$G232), 1, 0)</f>
        <v>1</v>
      </c>
      <c r="AG13" s="3">
        <f>IF( AND(AG$3 &gt;= Вводные!$F232, AG$3 &lt;= Вводные!$G232), 1, 0)</f>
        <v>1</v>
      </c>
      <c r="AH13" s="3">
        <f>IF( AND(AH$3 &gt;= Вводные!$F232, AH$3 &lt;= Вводные!$G232), 1, 0)</f>
        <v>1</v>
      </c>
      <c r="AI13" s="3">
        <f>IF( AND(AI$3 &gt;= Вводные!$F232, AI$3 &lt;= Вводные!$G232), 1, 0)</f>
        <v>1</v>
      </c>
      <c r="AJ13" s="3">
        <f>IF( AND(AJ$3 &gt;= Вводные!$F232, AJ$3 &lt;= Вводные!$G232), 1, 0)</f>
        <v>1</v>
      </c>
      <c r="AK13" s="3">
        <f>IF( AND(AK$3 &gt;= Вводные!$F232, AK$3 &lt;= Вводные!$G232), 1, 0)</f>
        <v>1</v>
      </c>
      <c r="AL13" s="3">
        <f>IF( AND(AL$3 &gt;= Вводные!$F232, AL$3 &lt;= Вводные!$G232), 1, 0)</f>
        <v>1</v>
      </c>
      <c r="AM13" s="3">
        <f>IF( AND(AM$3 &gt;= Вводные!$F232, AM$3 &lt;= Вводные!$G232), 1, 0)</f>
        <v>1</v>
      </c>
      <c r="AN13" s="3">
        <f>IF( AND(AN$3 &gt;= Вводные!$F232, AN$3 &lt;= Вводные!$G232), 1, 0)</f>
        <v>1</v>
      </c>
      <c r="AO13" s="3">
        <f>IF( AND(AO$3 &gt;= Вводные!$F232, AO$3 &lt;= Вводные!$G232), 1, 0)</f>
        <v>1</v>
      </c>
      <c r="AP13" s="3">
        <f>IF( AND(AP$3 &gt;= Вводные!$F232, AP$3 &lt;= Вводные!$G232), 1, 0)</f>
        <v>1</v>
      </c>
      <c r="AQ13" s="3">
        <f>IF( AND(AQ$3 &gt;= Вводные!$F232, AQ$3 &lt;= Вводные!$G232), 1, 0)</f>
        <v>1</v>
      </c>
      <c r="AR13" s="3">
        <f>IF( AND(AR$3 &gt;= Вводные!$F232, AR$3 &lt;= Вводные!$G232), 1, 0)</f>
        <v>1</v>
      </c>
      <c r="AS13" s="3">
        <f>IF( AND(AS$3 &gt;= Вводные!$F232, AS$3 &lt;= Вводные!$G232), 1, 0)</f>
        <v>1</v>
      </c>
      <c r="AT13" s="3">
        <f>IF( AND(AT$3 &gt;= Вводные!$F232, AT$3 &lt;= Вводные!$G232), 1, 0)</f>
        <v>1</v>
      </c>
      <c r="AU13" s="3">
        <f>IF( AND(AU$3 &gt;= Вводные!$F232, AU$3 &lt;= Вводные!$G232), 1, 0)</f>
        <v>0</v>
      </c>
      <c r="AV13" s="3">
        <f>IF( AND(AV$3 &gt;= Вводные!$F232, AV$3 &lt;= Вводные!$G232), 1, 0)</f>
        <v>0</v>
      </c>
      <c r="AW13" s="3">
        <f>IF( AND(AW$3 &gt;= Вводные!$F232, AW$3 &lt;= Вводные!$G232), 1, 0)</f>
        <v>0</v>
      </c>
      <c r="AX13" s="3">
        <f>IF( AND(AX$3 &gt;= Вводные!$F232, AX$3 &lt;= Вводные!$G232), 1, 0)</f>
        <v>0</v>
      </c>
      <c r="AY13" s="3">
        <f>IF( AND(AY$3 &gt;= Вводные!$F232, AY$3 &lt;= Вводные!$G232), 1, 0)</f>
        <v>0</v>
      </c>
      <c r="AZ13" s="3">
        <f>IF( AND(AZ$3 &gt;= Вводные!$F232, AZ$3 &lt;= Вводные!$G232), 1, 0)</f>
        <v>0</v>
      </c>
      <c r="BA13" s="3">
        <f>IF( AND(BA$3 &gt;= Вводные!$F232, BA$3 &lt;= Вводные!$G232), 1, 0)</f>
        <v>0</v>
      </c>
      <c r="BB13" s="3">
        <f>IF( AND(BB$3 &gt;= Вводные!$F232, BB$3 &lt;= Вводные!$G232), 1, 0)</f>
        <v>0</v>
      </c>
      <c r="BC13" s="3">
        <f>IF( AND(BC$3 &gt;= Вводные!$F232, BC$3 &lt;= Вводные!$G232), 1, 0)</f>
        <v>0</v>
      </c>
      <c r="BD13" s="3">
        <f>IF( AND(BD$3 &gt;= Вводные!$F232, BD$3 &lt;= Вводные!$G232), 1, 0)</f>
        <v>0</v>
      </c>
      <c r="BE13" s="3">
        <f>IF( AND(BE$3 &gt;= Вводные!$F232, BE$3 &lt;= Вводные!$G232), 1, 0)</f>
        <v>0</v>
      </c>
      <c r="BF13" s="3">
        <f>IF( AND(BF$3 &gt;= Вводные!$F232, BF$3 &lt;= Вводные!$G232), 1, 0)</f>
        <v>0</v>
      </c>
      <c r="BG13" s="3">
        <f>IF( AND(BG$3 &gt;= Вводные!$F232, BG$3 &lt;= Вводные!$G232), 1, 0)</f>
        <v>0</v>
      </c>
      <c r="BH13" s="3">
        <f>IF( AND(BH$3 &gt;= Вводные!$F232, BH$3 &lt;= Вводные!$G232), 1, 0)</f>
        <v>0</v>
      </c>
      <c r="BI13" s="3">
        <f>IF( AND(BI$3 &gt;= Вводные!$F232, BI$3 &lt;= Вводные!$G232), 1, 0)</f>
        <v>0</v>
      </c>
      <c r="BJ13" s="3">
        <f>IF( AND(BJ$3 &gt;= Вводные!$F232, BJ$3 &lt;= Вводные!$G232), 1, 0)</f>
        <v>0</v>
      </c>
    </row>
    <row r="14" spans="2:62" x14ac:dyDescent="0.15">
      <c r="C14" t="s">
        <v>35</v>
      </c>
      <c r="D14" s="11" t="str">
        <f>Вводные!$D$181</f>
        <v>Ежемесячный расход на цели 2</v>
      </c>
      <c r="E14" s="12" t="s">
        <v>37</v>
      </c>
      <c r="J14" s="3">
        <f>IF( AND(J$3 &gt;= Вводные!$F233, J$3 &lt;= Вводные!$G233), 1, 0)</f>
        <v>1</v>
      </c>
      <c r="K14" s="3">
        <f>IF( AND(K$3 &gt;= Вводные!$F233, K$3 &lt;= Вводные!$G233), 1, 0)</f>
        <v>1</v>
      </c>
      <c r="L14" s="3">
        <f>IF( AND(L$3 &gt;= Вводные!$F233, L$3 &lt;= Вводные!$G233), 1, 0)</f>
        <v>1</v>
      </c>
      <c r="M14" s="3">
        <f>IF( AND(M$3 &gt;= Вводные!$F233, M$3 &lt;= Вводные!$G233), 1, 0)</f>
        <v>1</v>
      </c>
      <c r="N14" s="3">
        <f>IF( AND(N$3 &gt;= Вводные!$F233, N$3 &lt;= Вводные!$G233), 1, 0)</f>
        <v>1</v>
      </c>
      <c r="O14" s="3">
        <f>IF( AND(O$3 &gt;= Вводные!$F233, O$3 &lt;= Вводные!$G233), 1, 0)</f>
        <v>1</v>
      </c>
      <c r="P14" s="3">
        <f>IF( AND(P$3 &gt;= Вводные!$F233, P$3 &lt;= Вводные!$G233), 1, 0)</f>
        <v>1</v>
      </c>
      <c r="Q14" s="3">
        <f>IF( AND(Q$3 &gt;= Вводные!$F233, Q$3 &lt;= Вводные!$G233), 1, 0)</f>
        <v>1</v>
      </c>
      <c r="R14" s="3">
        <f>IF( AND(R$3 &gt;= Вводные!$F233, R$3 &lt;= Вводные!$G233), 1, 0)</f>
        <v>1</v>
      </c>
      <c r="S14" s="3">
        <f>IF( AND(S$3 &gt;= Вводные!$F233, S$3 &lt;= Вводные!$G233), 1, 0)</f>
        <v>1</v>
      </c>
      <c r="T14" s="3">
        <f>IF( AND(T$3 &gt;= Вводные!$F233, T$3 &lt;= Вводные!$G233), 1, 0)</f>
        <v>1</v>
      </c>
      <c r="U14" s="3">
        <f>IF( AND(U$3 &gt;= Вводные!$F233, U$3 &lt;= Вводные!$G233), 1, 0)</f>
        <v>1</v>
      </c>
      <c r="V14" s="3">
        <f>IF( AND(V$3 &gt;= Вводные!$F233, V$3 &lt;= Вводные!$G233), 1, 0)</f>
        <v>1</v>
      </c>
      <c r="W14" s="3">
        <f>IF( AND(W$3 &gt;= Вводные!$F233, W$3 &lt;= Вводные!$G233), 1, 0)</f>
        <v>1</v>
      </c>
      <c r="X14" s="3">
        <f>IF( AND(X$3 &gt;= Вводные!$F233, X$3 &lt;= Вводные!$G233), 1, 0)</f>
        <v>1</v>
      </c>
      <c r="Y14" s="3">
        <f>IF( AND(Y$3 &gt;= Вводные!$F233, Y$3 &lt;= Вводные!$G233), 1, 0)</f>
        <v>1</v>
      </c>
      <c r="Z14" s="3">
        <f>IF( AND(Z$3 &gt;= Вводные!$F233, Z$3 &lt;= Вводные!$G233), 1, 0)</f>
        <v>1</v>
      </c>
      <c r="AA14" s="3">
        <f>IF( AND(AA$3 &gt;= Вводные!$F233, AA$3 &lt;= Вводные!$G233), 1, 0)</f>
        <v>1</v>
      </c>
      <c r="AB14" s="3">
        <f>IF( AND(AB$3 &gt;= Вводные!$F233, AB$3 &lt;= Вводные!$G233), 1, 0)</f>
        <v>1</v>
      </c>
      <c r="AC14" s="3">
        <f>IF( AND(AC$3 &gt;= Вводные!$F233, AC$3 &lt;= Вводные!$G233), 1, 0)</f>
        <v>1</v>
      </c>
      <c r="AD14" s="3">
        <f>IF( AND(AD$3 &gt;= Вводные!$F233, AD$3 &lt;= Вводные!$G233), 1, 0)</f>
        <v>1</v>
      </c>
      <c r="AE14" s="3">
        <f>IF( AND(AE$3 &gt;= Вводные!$F233, AE$3 &lt;= Вводные!$G233), 1, 0)</f>
        <v>1</v>
      </c>
      <c r="AF14" s="3">
        <f>IF( AND(AF$3 &gt;= Вводные!$F233, AF$3 &lt;= Вводные!$G233), 1, 0)</f>
        <v>1</v>
      </c>
      <c r="AG14" s="3">
        <f>IF( AND(AG$3 &gt;= Вводные!$F233, AG$3 &lt;= Вводные!$G233), 1, 0)</f>
        <v>1</v>
      </c>
      <c r="AH14" s="3">
        <f>IF( AND(AH$3 &gt;= Вводные!$F233, AH$3 &lt;= Вводные!$G233), 1, 0)</f>
        <v>1</v>
      </c>
      <c r="AI14" s="3">
        <f>IF( AND(AI$3 &gt;= Вводные!$F233, AI$3 &lt;= Вводные!$G233), 1, 0)</f>
        <v>1</v>
      </c>
      <c r="AJ14" s="3">
        <f>IF( AND(AJ$3 &gt;= Вводные!$F233, AJ$3 &lt;= Вводные!$G233), 1, 0)</f>
        <v>1</v>
      </c>
      <c r="AK14" s="3">
        <f>IF( AND(AK$3 &gt;= Вводные!$F233, AK$3 &lt;= Вводные!$G233), 1, 0)</f>
        <v>1</v>
      </c>
      <c r="AL14" s="3">
        <f>IF( AND(AL$3 &gt;= Вводные!$F233, AL$3 &lt;= Вводные!$G233), 1, 0)</f>
        <v>1</v>
      </c>
      <c r="AM14" s="3">
        <f>IF( AND(AM$3 &gt;= Вводные!$F233, AM$3 &lt;= Вводные!$G233), 1, 0)</f>
        <v>1</v>
      </c>
      <c r="AN14" s="3">
        <f>IF( AND(AN$3 &gt;= Вводные!$F233, AN$3 &lt;= Вводные!$G233), 1, 0)</f>
        <v>1</v>
      </c>
      <c r="AO14" s="3">
        <f>IF( AND(AO$3 &gt;= Вводные!$F233, AO$3 &lt;= Вводные!$G233), 1, 0)</f>
        <v>1</v>
      </c>
      <c r="AP14" s="3">
        <f>IF( AND(AP$3 &gt;= Вводные!$F233, AP$3 &lt;= Вводные!$G233), 1, 0)</f>
        <v>1</v>
      </c>
      <c r="AQ14" s="3">
        <f>IF( AND(AQ$3 &gt;= Вводные!$F233, AQ$3 &lt;= Вводные!$G233), 1, 0)</f>
        <v>1</v>
      </c>
      <c r="AR14" s="3">
        <f>IF( AND(AR$3 &gt;= Вводные!$F233, AR$3 &lt;= Вводные!$G233), 1, 0)</f>
        <v>1</v>
      </c>
      <c r="AS14" s="3">
        <f>IF( AND(AS$3 &gt;= Вводные!$F233, AS$3 &lt;= Вводные!$G233), 1, 0)</f>
        <v>1</v>
      </c>
      <c r="AT14" s="3">
        <f>IF( AND(AT$3 &gt;= Вводные!$F233, AT$3 &lt;= Вводные!$G233), 1, 0)</f>
        <v>1</v>
      </c>
      <c r="AU14" s="3">
        <f>IF( AND(AU$3 &gt;= Вводные!$F233, AU$3 &lt;= Вводные!$G233), 1, 0)</f>
        <v>0</v>
      </c>
      <c r="AV14" s="3">
        <f>IF( AND(AV$3 &gt;= Вводные!$F233, AV$3 &lt;= Вводные!$G233), 1, 0)</f>
        <v>0</v>
      </c>
      <c r="AW14" s="3">
        <f>IF( AND(AW$3 &gt;= Вводные!$F233, AW$3 &lt;= Вводные!$G233), 1, 0)</f>
        <v>0</v>
      </c>
      <c r="AX14" s="3">
        <f>IF( AND(AX$3 &gt;= Вводные!$F233, AX$3 &lt;= Вводные!$G233), 1, 0)</f>
        <v>0</v>
      </c>
      <c r="AY14" s="3">
        <f>IF( AND(AY$3 &gt;= Вводные!$F233, AY$3 &lt;= Вводные!$G233), 1, 0)</f>
        <v>0</v>
      </c>
      <c r="AZ14" s="3">
        <f>IF( AND(AZ$3 &gt;= Вводные!$F233, AZ$3 &lt;= Вводные!$G233), 1, 0)</f>
        <v>0</v>
      </c>
      <c r="BA14" s="3">
        <f>IF( AND(BA$3 &gt;= Вводные!$F233, BA$3 &lt;= Вводные!$G233), 1, 0)</f>
        <v>0</v>
      </c>
      <c r="BB14" s="3">
        <f>IF( AND(BB$3 &gt;= Вводные!$F233, BB$3 &lt;= Вводные!$G233), 1, 0)</f>
        <v>0</v>
      </c>
      <c r="BC14" s="3">
        <f>IF( AND(BC$3 &gt;= Вводные!$F233, BC$3 &lt;= Вводные!$G233), 1, 0)</f>
        <v>0</v>
      </c>
      <c r="BD14" s="3">
        <f>IF( AND(BD$3 &gt;= Вводные!$F233, BD$3 &lt;= Вводные!$G233), 1, 0)</f>
        <v>0</v>
      </c>
      <c r="BE14" s="3">
        <f>IF( AND(BE$3 &gt;= Вводные!$F233, BE$3 &lt;= Вводные!$G233), 1, 0)</f>
        <v>0</v>
      </c>
      <c r="BF14" s="3">
        <f>IF( AND(BF$3 &gt;= Вводные!$F233, BF$3 &lt;= Вводные!$G233), 1, 0)</f>
        <v>0</v>
      </c>
      <c r="BG14" s="3">
        <f>IF( AND(BG$3 &gt;= Вводные!$F233, BG$3 &lt;= Вводные!$G233), 1, 0)</f>
        <v>0</v>
      </c>
      <c r="BH14" s="3">
        <f>IF( AND(BH$3 &gt;= Вводные!$F233, BH$3 &lt;= Вводные!$G233), 1, 0)</f>
        <v>0</v>
      </c>
      <c r="BI14" s="3">
        <f>IF( AND(BI$3 &gt;= Вводные!$F233, BI$3 &lt;= Вводные!$G233), 1, 0)</f>
        <v>0</v>
      </c>
      <c r="BJ14" s="3">
        <f>IF( AND(BJ$3 &gt;= Вводные!$F233, BJ$3 &lt;= Вводные!$G233), 1, 0)</f>
        <v>0</v>
      </c>
    </row>
    <row r="15" spans="2:62" x14ac:dyDescent="0.15">
      <c r="D15" s="11" t="str">
        <f>Вводные!$D$182</f>
        <v>Ежемесячный расход на цели 3</v>
      </c>
      <c r="E15" s="12" t="s">
        <v>37</v>
      </c>
      <c r="J15" s="3">
        <f>IF( AND(J$3 &gt;= Вводные!$F234, J$3 &lt;= Вводные!$G234), 1, 0)</f>
        <v>1</v>
      </c>
      <c r="K15" s="3">
        <f>IF( AND(K$3 &gt;= Вводные!$F234, K$3 &lt;= Вводные!$G234), 1, 0)</f>
        <v>1</v>
      </c>
      <c r="L15" s="3">
        <f>IF( AND(L$3 &gt;= Вводные!$F234, L$3 &lt;= Вводные!$G234), 1, 0)</f>
        <v>1</v>
      </c>
      <c r="M15" s="3">
        <f>IF( AND(M$3 &gt;= Вводные!$F234, M$3 &lt;= Вводные!$G234), 1, 0)</f>
        <v>1</v>
      </c>
      <c r="N15" s="3">
        <f>IF( AND(N$3 &gt;= Вводные!$F234, N$3 &lt;= Вводные!$G234), 1, 0)</f>
        <v>1</v>
      </c>
      <c r="O15" s="3">
        <f>IF( AND(O$3 &gt;= Вводные!$F234, O$3 &lt;= Вводные!$G234), 1, 0)</f>
        <v>1</v>
      </c>
      <c r="P15" s="3">
        <f>IF( AND(P$3 &gt;= Вводные!$F234, P$3 &lt;= Вводные!$G234), 1, 0)</f>
        <v>1</v>
      </c>
      <c r="Q15" s="3">
        <f>IF( AND(Q$3 &gt;= Вводные!$F234, Q$3 &lt;= Вводные!$G234), 1, 0)</f>
        <v>1</v>
      </c>
      <c r="R15" s="3">
        <f>IF( AND(R$3 &gt;= Вводные!$F234, R$3 &lt;= Вводные!$G234), 1, 0)</f>
        <v>1</v>
      </c>
      <c r="S15" s="3">
        <f>IF( AND(S$3 &gt;= Вводные!$F234, S$3 &lt;= Вводные!$G234), 1, 0)</f>
        <v>1</v>
      </c>
      <c r="T15" s="3">
        <f>IF( AND(T$3 &gt;= Вводные!$F234, T$3 &lt;= Вводные!$G234), 1, 0)</f>
        <v>1</v>
      </c>
      <c r="U15" s="3">
        <f>IF( AND(U$3 &gt;= Вводные!$F234, U$3 &lt;= Вводные!$G234), 1, 0)</f>
        <v>1</v>
      </c>
      <c r="V15" s="3">
        <f>IF( AND(V$3 &gt;= Вводные!$F234, V$3 &lt;= Вводные!$G234), 1, 0)</f>
        <v>1</v>
      </c>
      <c r="W15" s="3">
        <f>IF( AND(W$3 &gt;= Вводные!$F234, W$3 &lt;= Вводные!$G234), 1, 0)</f>
        <v>1</v>
      </c>
      <c r="X15" s="3">
        <f>IF( AND(X$3 &gt;= Вводные!$F234, X$3 &lt;= Вводные!$G234), 1, 0)</f>
        <v>1</v>
      </c>
      <c r="Y15" s="3">
        <f>IF( AND(Y$3 &gt;= Вводные!$F234, Y$3 &lt;= Вводные!$G234), 1, 0)</f>
        <v>1</v>
      </c>
      <c r="Z15" s="3">
        <f>IF( AND(Z$3 &gt;= Вводные!$F234, Z$3 &lt;= Вводные!$G234), 1, 0)</f>
        <v>1</v>
      </c>
      <c r="AA15" s="3">
        <f>IF( AND(AA$3 &gt;= Вводные!$F234, AA$3 &lt;= Вводные!$G234), 1, 0)</f>
        <v>1</v>
      </c>
      <c r="AB15" s="3">
        <f>IF( AND(AB$3 &gt;= Вводные!$F234, AB$3 &lt;= Вводные!$G234), 1, 0)</f>
        <v>1</v>
      </c>
      <c r="AC15" s="3">
        <f>IF( AND(AC$3 &gt;= Вводные!$F234, AC$3 &lt;= Вводные!$G234), 1, 0)</f>
        <v>1</v>
      </c>
      <c r="AD15" s="3">
        <f>IF( AND(AD$3 &gt;= Вводные!$F234, AD$3 &lt;= Вводные!$G234), 1, 0)</f>
        <v>1</v>
      </c>
      <c r="AE15" s="3">
        <f>IF( AND(AE$3 &gt;= Вводные!$F234, AE$3 &lt;= Вводные!$G234), 1, 0)</f>
        <v>1</v>
      </c>
      <c r="AF15" s="3">
        <f>IF( AND(AF$3 &gt;= Вводные!$F234, AF$3 &lt;= Вводные!$G234), 1, 0)</f>
        <v>1</v>
      </c>
      <c r="AG15" s="3">
        <f>IF( AND(AG$3 &gt;= Вводные!$F234, AG$3 &lt;= Вводные!$G234), 1, 0)</f>
        <v>1</v>
      </c>
      <c r="AH15" s="3">
        <f>IF( AND(AH$3 &gt;= Вводные!$F234, AH$3 &lt;= Вводные!$G234), 1, 0)</f>
        <v>1</v>
      </c>
      <c r="AI15" s="3">
        <f>IF( AND(AI$3 &gt;= Вводные!$F234, AI$3 &lt;= Вводные!$G234), 1, 0)</f>
        <v>1</v>
      </c>
      <c r="AJ15" s="3">
        <f>IF( AND(AJ$3 &gt;= Вводные!$F234, AJ$3 &lt;= Вводные!$G234), 1, 0)</f>
        <v>1</v>
      </c>
      <c r="AK15" s="3">
        <f>IF( AND(AK$3 &gt;= Вводные!$F234, AK$3 &lt;= Вводные!$G234), 1, 0)</f>
        <v>1</v>
      </c>
      <c r="AL15" s="3">
        <f>IF( AND(AL$3 &gt;= Вводные!$F234, AL$3 &lt;= Вводные!$G234), 1, 0)</f>
        <v>1</v>
      </c>
      <c r="AM15" s="3">
        <f>IF( AND(AM$3 &gt;= Вводные!$F234, AM$3 &lt;= Вводные!$G234), 1, 0)</f>
        <v>1</v>
      </c>
      <c r="AN15" s="3">
        <f>IF( AND(AN$3 &gt;= Вводные!$F234, AN$3 &lt;= Вводные!$G234), 1, 0)</f>
        <v>1</v>
      </c>
      <c r="AO15" s="3">
        <f>IF( AND(AO$3 &gt;= Вводные!$F234, AO$3 &lt;= Вводные!$G234), 1, 0)</f>
        <v>1</v>
      </c>
      <c r="AP15" s="3">
        <f>IF( AND(AP$3 &gt;= Вводные!$F234, AP$3 &lt;= Вводные!$G234), 1, 0)</f>
        <v>1</v>
      </c>
      <c r="AQ15" s="3">
        <f>IF( AND(AQ$3 &gt;= Вводные!$F234, AQ$3 &lt;= Вводные!$G234), 1, 0)</f>
        <v>1</v>
      </c>
      <c r="AR15" s="3">
        <f>IF( AND(AR$3 &gt;= Вводные!$F234, AR$3 &lt;= Вводные!$G234), 1, 0)</f>
        <v>1</v>
      </c>
      <c r="AS15" s="3">
        <f>IF( AND(AS$3 &gt;= Вводные!$F234, AS$3 &lt;= Вводные!$G234), 1, 0)</f>
        <v>1</v>
      </c>
      <c r="AT15" s="3">
        <f>IF( AND(AT$3 &gt;= Вводные!$F234, AT$3 &lt;= Вводные!$G234), 1, 0)</f>
        <v>1</v>
      </c>
      <c r="AU15" s="3">
        <f>IF( AND(AU$3 &gt;= Вводные!$F234, AU$3 &lt;= Вводные!$G234), 1, 0)</f>
        <v>0</v>
      </c>
      <c r="AV15" s="3">
        <f>IF( AND(AV$3 &gt;= Вводные!$F234, AV$3 &lt;= Вводные!$G234), 1, 0)</f>
        <v>0</v>
      </c>
      <c r="AW15" s="3">
        <f>IF( AND(AW$3 &gt;= Вводные!$F234, AW$3 &lt;= Вводные!$G234), 1, 0)</f>
        <v>0</v>
      </c>
      <c r="AX15" s="3">
        <f>IF( AND(AX$3 &gt;= Вводные!$F234, AX$3 &lt;= Вводные!$G234), 1, 0)</f>
        <v>0</v>
      </c>
      <c r="AY15" s="3">
        <f>IF( AND(AY$3 &gt;= Вводные!$F234, AY$3 &lt;= Вводные!$G234), 1, 0)</f>
        <v>0</v>
      </c>
      <c r="AZ15" s="3">
        <f>IF( AND(AZ$3 &gt;= Вводные!$F234, AZ$3 &lt;= Вводные!$G234), 1, 0)</f>
        <v>0</v>
      </c>
      <c r="BA15" s="3">
        <f>IF( AND(BA$3 &gt;= Вводные!$F234, BA$3 &lt;= Вводные!$G234), 1, 0)</f>
        <v>0</v>
      </c>
      <c r="BB15" s="3">
        <f>IF( AND(BB$3 &gt;= Вводные!$F234, BB$3 &lt;= Вводные!$G234), 1, 0)</f>
        <v>0</v>
      </c>
      <c r="BC15" s="3">
        <f>IF( AND(BC$3 &gt;= Вводные!$F234, BC$3 &lt;= Вводные!$G234), 1, 0)</f>
        <v>0</v>
      </c>
      <c r="BD15" s="3">
        <f>IF( AND(BD$3 &gt;= Вводные!$F234, BD$3 &lt;= Вводные!$G234), 1, 0)</f>
        <v>0</v>
      </c>
      <c r="BE15" s="3">
        <f>IF( AND(BE$3 &gt;= Вводные!$F234, BE$3 &lt;= Вводные!$G234), 1, 0)</f>
        <v>0</v>
      </c>
      <c r="BF15" s="3">
        <f>IF( AND(BF$3 &gt;= Вводные!$F234, BF$3 &lt;= Вводные!$G234), 1, 0)</f>
        <v>0</v>
      </c>
      <c r="BG15" s="3">
        <f>IF( AND(BG$3 &gt;= Вводные!$F234, BG$3 &lt;= Вводные!$G234), 1, 0)</f>
        <v>0</v>
      </c>
      <c r="BH15" s="3">
        <f>IF( AND(BH$3 &gt;= Вводные!$F234, BH$3 &lt;= Вводные!$G234), 1, 0)</f>
        <v>0</v>
      </c>
      <c r="BI15" s="3">
        <f>IF( AND(BI$3 &gt;= Вводные!$F234, BI$3 &lt;= Вводные!$G234), 1, 0)</f>
        <v>0</v>
      </c>
      <c r="BJ15" s="3">
        <f>IF( AND(BJ$3 &gt;= Вводные!$F234, BJ$3 &lt;= Вводные!$G234), 1, 0)</f>
        <v>0</v>
      </c>
    </row>
    <row r="16" spans="2:62" x14ac:dyDescent="0.15">
      <c r="D16" s="11" t="str">
        <f>Вводные!$D$183</f>
        <v>Ежемесячный расход на цели 4</v>
      </c>
      <c r="E16" s="12" t="s">
        <v>37</v>
      </c>
      <c r="J16" s="3">
        <f>IF( AND(J$3 &gt;= Вводные!$F235, J$3 &lt;= Вводные!$G235), 1, 0)</f>
        <v>1</v>
      </c>
      <c r="K16" s="3">
        <f>IF( AND(K$3 &gt;= Вводные!$F235, K$3 &lt;= Вводные!$G235), 1, 0)</f>
        <v>1</v>
      </c>
      <c r="L16" s="3">
        <f>IF( AND(L$3 &gt;= Вводные!$F235, L$3 &lt;= Вводные!$G235), 1, 0)</f>
        <v>1</v>
      </c>
      <c r="M16" s="3">
        <f>IF( AND(M$3 &gt;= Вводные!$F235, M$3 &lt;= Вводные!$G235), 1, 0)</f>
        <v>1</v>
      </c>
      <c r="N16" s="3">
        <f>IF( AND(N$3 &gt;= Вводные!$F235, N$3 &lt;= Вводные!$G235), 1, 0)</f>
        <v>1</v>
      </c>
      <c r="O16" s="3">
        <f>IF( AND(O$3 &gt;= Вводные!$F235, O$3 &lt;= Вводные!$G235), 1, 0)</f>
        <v>1</v>
      </c>
      <c r="P16" s="3">
        <f>IF( AND(P$3 &gt;= Вводные!$F235, P$3 &lt;= Вводные!$G235), 1, 0)</f>
        <v>1</v>
      </c>
      <c r="Q16" s="3">
        <f>IF( AND(Q$3 &gt;= Вводные!$F235, Q$3 &lt;= Вводные!$G235), 1, 0)</f>
        <v>1</v>
      </c>
      <c r="R16" s="3">
        <f>IF( AND(R$3 &gt;= Вводные!$F235, R$3 &lt;= Вводные!$G235), 1, 0)</f>
        <v>1</v>
      </c>
      <c r="S16" s="3">
        <f>IF( AND(S$3 &gt;= Вводные!$F235, S$3 &lt;= Вводные!$G235), 1, 0)</f>
        <v>1</v>
      </c>
      <c r="T16" s="3">
        <f>IF( AND(T$3 &gt;= Вводные!$F235, T$3 &lt;= Вводные!$G235), 1, 0)</f>
        <v>1</v>
      </c>
      <c r="U16" s="3">
        <f>IF( AND(U$3 &gt;= Вводные!$F235, U$3 &lt;= Вводные!$G235), 1, 0)</f>
        <v>1</v>
      </c>
      <c r="V16" s="3">
        <f>IF( AND(V$3 &gt;= Вводные!$F235, V$3 &lt;= Вводные!$G235), 1, 0)</f>
        <v>1</v>
      </c>
      <c r="W16" s="3">
        <f>IF( AND(W$3 &gt;= Вводные!$F235, W$3 &lt;= Вводные!$G235), 1, 0)</f>
        <v>1</v>
      </c>
      <c r="X16" s="3">
        <f>IF( AND(X$3 &gt;= Вводные!$F235, X$3 &lt;= Вводные!$G235), 1, 0)</f>
        <v>1</v>
      </c>
      <c r="Y16" s="3">
        <f>IF( AND(Y$3 &gt;= Вводные!$F235, Y$3 &lt;= Вводные!$G235), 1, 0)</f>
        <v>1</v>
      </c>
      <c r="Z16" s="3">
        <f>IF( AND(Z$3 &gt;= Вводные!$F235, Z$3 &lt;= Вводные!$G235), 1, 0)</f>
        <v>1</v>
      </c>
      <c r="AA16" s="3">
        <f>IF( AND(AA$3 &gt;= Вводные!$F235, AA$3 &lt;= Вводные!$G235), 1, 0)</f>
        <v>1</v>
      </c>
      <c r="AB16" s="3">
        <f>IF( AND(AB$3 &gt;= Вводные!$F235, AB$3 &lt;= Вводные!$G235), 1, 0)</f>
        <v>1</v>
      </c>
      <c r="AC16" s="3">
        <f>IF( AND(AC$3 &gt;= Вводные!$F235, AC$3 &lt;= Вводные!$G235), 1, 0)</f>
        <v>1</v>
      </c>
      <c r="AD16" s="3">
        <f>IF( AND(AD$3 &gt;= Вводные!$F235, AD$3 &lt;= Вводные!$G235), 1, 0)</f>
        <v>1</v>
      </c>
      <c r="AE16" s="3">
        <f>IF( AND(AE$3 &gt;= Вводные!$F235, AE$3 &lt;= Вводные!$G235), 1, 0)</f>
        <v>1</v>
      </c>
      <c r="AF16" s="3">
        <f>IF( AND(AF$3 &gt;= Вводные!$F235, AF$3 &lt;= Вводные!$G235), 1, 0)</f>
        <v>1</v>
      </c>
      <c r="AG16" s="3">
        <f>IF( AND(AG$3 &gt;= Вводные!$F235, AG$3 &lt;= Вводные!$G235), 1, 0)</f>
        <v>1</v>
      </c>
      <c r="AH16" s="3">
        <f>IF( AND(AH$3 &gt;= Вводные!$F235, AH$3 &lt;= Вводные!$G235), 1, 0)</f>
        <v>1</v>
      </c>
      <c r="AI16" s="3">
        <f>IF( AND(AI$3 &gt;= Вводные!$F235, AI$3 &lt;= Вводные!$G235), 1, 0)</f>
        <v>1</v>
      </c>
      <c r="AJ16" s="3">
        <f>IF( AND(AJ$3 &gt;= Вводные!$F235, AJ$3 &lt;= Вводные!$G235), 1, 0)</f>
        <v>1</v>
      </c>
      <c r="AK16" s="3">
        <f>IF( AND(AK$3 &gt;= Вводные!$F235, AK$3 &lt;= Вводные!$G235), 1, 0)</f>
        <v>1</v>
      </c>
      <c r="AL16" s="3">
        <f>IF( AND(AL$3 &gt;= Вводные!$F235, AL$3 &lt;= Вводные!$G235), 1, 0)</f>
        <v>1</v>
      </c>
      <c r="AM16" s="3">
        <f>IF( AND(AM$3 &gt;= Вводные!$F235, AM$3 &lt;= Вводные!$G235), 1, 0)</f>
        <v>1</v>
      </c>
      <c r="AN16" s="3">
        <f>IF( AND(AN$3 &gt;= Вводные!$F235, AN$3 &lt;= Вводные!$G235), 1, 0)</f>
        <v>1</v>
      </c>
      <c r="AO16" s="3">
        <f>IF( AND(AO$3 &gt;= Вводные!$F235, AO$3 &lt;= Вводные!$G235), 1, 0)</f>
        <v>1</v>
      </c>
      <c r="AP16" s="3">
        <f>IF( AND(AP$3 &gt;= Вводные!$F235, AP$3 &lt;= Вводные!$G235), 1, 0)</f>
        <v>1</v>
      </c>
      <c r="AQ16" s="3">
        <f>IF( AND(AQ$3 &gt;= Вводные!$F235, AQ$3 &lt;= Вводные!$G235), 1, 0)</f>
        <v>1</v>
      </c>
      <c r="AR16" s="3">
        <f>IF( AND(AR$3 &gt;= Вводные!$F235, AR$3 &lt;= Вводные!$G235), 1, 0)</f>
        <v>1</v>
      </c>
      <c r="AS16" s="3">
        <f>IF( AND(AS$3 &gt;= Вводные!$F235, AS$3 &lt;= Вводные!$G235), 1, 0)</f>
        <v>1</v>
      </c>
      <c r="AT16" s="3">
        <f>IF( AND(AT$3 &gt;= Вводные!$F235, AT$3 &lt;= Вводные!$G235), 1, 0)</f>
        <v>1</v>
      </c>
      <c r="AU16" s="3">
        <f>IF( AND(AU$3 &gt;= Вводные!$F235, AU$3 &lt;= Вводные!$G235), 1, 0)</f>
        <v>0</v>
      </c>
      <c r="AV16" s="3">
        <f>IF( AND(AV$3 &gt;= Вводные!$F235, AV$3 &lt;= Вводные!$G235), 1, 0)</f>
        <v>0</v>
      </c>
      <c r="AW16" s="3">
        <f>IF( AND(AW$3 &gt;= Вводные!$F235, AW$3 &lt;= Вводные!$G235), 1, 0)</f>
        <v>0</v>
      </c>
      <c r="AX16" s="3">
        <f>IF( AND(AX$3 &gt;= Вводные!$F235, AX$3 &lt;= Вводные!$G235), 1, 0)</f>
        <v>0</v>
      </c>
      <c r="AY16" s="3">
        <f>IF( AND(AY$3 &gt;= Вводные!$F235, AY$3 &lt;= Вводные!$G235), 1, 0)</f>
        <v>0</v>
      </c>
      <c r="AZ16" s="3">
        <f>IF( AND(AZ$3 &gt;= Вводные!$F235, AZ$3 &lt;= Вводные!$G235), 1, 0)</f>
        <v>0</v>
      </c>
      <c r="BA16" s="3">
        <f>IF( AND(BA$3 &gt;= Вводные!$F235, BA$3 &lt;= Вводные!$G235), 1, 0)</f>
        <v>0</v>
      </c>
      <c r="BB16" s="3">
        <f>IF( AND(BB$3 &gt;= Вводные!$F235, BB$3 &lt;= Вводные!$G235), 1, 0)</f>
        <v>0</v>
      </c>
      <c r="BC16" s="3">
        <f>IF( AND(BC$3 &gt;= Вводные!$F235, BC$3 &lt;= Вводные!$G235), 1, 0)</f>
        <v>0</v>
      </c>
      <c r="BD16" s="3">
        <f>IF( AND(BD$3 &gt;= Вводные!$F235, BD$3 &lt;= Вводные!$G235), 1, 0)</f>
        <v>0</v>
      </c>
      <c r="BE16" s="3">
        <f>IF( AND(BE$3 &gt;= Вводные!$F235, BE$3 &lt;= Вводные!$G235), 1, 0)</f>
        <v>0</v>
      </c>
      <c r="BF16" s="3">
        <f>IF( AND(BF$3 &gt;= Вводные!$F235, BF$3 &lt;= Вводные!$G235), 1, 0)</f>
        <v>0</v>
      </c>
      <c r="BG16" s="3">
        <f>IF( AND(BG$3 &gt;= Вводные!$F235, BG$3 &lt;= Вводные!$G235), 1, 0)</f>
        <v>0</v>
      </c>
      <c r="BH16" s="3">
        <f>IF( AND(BH$3 &gt;= Вводные!$F235, BH$3 &lt;= Вводные!$G235), 1, 0)</f>
        <v>0</v>
      </c>
      <c r="BI16" s="3">
        <f>IF( AND(BI$3 &gt;= Вводные!$F235, BI$3 &lt;= Вводные!$G235), 1, 0)</f>
        <v>0</v>
      </c>
      <c r="BJ16" s="3">
        <f>IF( AND(BJ$3 &gt;= Вводные!$F235, BJ$3 &lt;= Вводные!$G235), 1, 0)</f>
        <v>0</v>
      </c>
    </row>
    <row r="17" spans="4:62" x14ac:dyDescent="0.15">
      <c r="D17" s="11" t="str">
        <f>Вводные!$D$184</f>
        <v>Ежемесячный расход на цели 5</v>
      </c>
      <c r="E17" s="12" t="s">
        <v>37</v>
      </c>
      <c r="J17" s="3">
        <f>IF( AND(J$3 &gt;= Вводные!$F236, J$3 &lt;= Вводные!$G236), 1, 0)</f>
        <v>1</v>
      </c>
      <c r="K17" s="3">
        <f>IF( AND(K$3 &gt;= Вводные!$F236, K$3 &lt;= Вводные!$G236), 1, 0)</f>
        <v>1</v>
      </c>
      <c r="L17" s="3">
        <f>IF( AND(L$3 &gt;= Вводные!$F236, L$3 &lt;= Вводные!$G236), 1, 0)</f>
        <v>1</v>
      </c>
      <c r="M17" s="3">
        <f>IF( AND(M$3 &gt;= Вводные!$F236, M$3 &lt;= Вводные!$G236), 1, 0)</f>
        <v>1</v>
      </c>
      <c r="N17" s="3">
        <f>IF( AND(N$3 &gt;= Вводные!$F236, N$3 &lt;= Вводные!$G236), 1, 0)</f>
        <v>1</v>
      </c>
      <c r="O17" s="3">
        <f>IF( AND(O$3 &gt;= Вводные!$F236, O$3 &lt;= Вводные!$G236), 1, 0)</f>
        <v>1</v>
      </c>
      <c r="P17" s="3">
        <f>IF( AND(P$3 &gt;= Вводные!$F236, P$3 &lt;= Вводные!$G236), 1, 0)</f>
        <v>1</v>
      </c>
      <c r="Q17" s="3">
        <f>IF( AND(Q$3 &gt;= Вводные!$F236, Q$3 &lt;= Вводные!$G236), 1, 0)</f>
        <v>1</v>
      </c>
      <c r="R17" s="3">
        <f>IF( AND(R$3 &gt;= Вводные!$F236, R$3 &lt;= Вводные!$G236), 1, 0)</f>
        <v>1</v>
      </c>
      <c r="S17" s="3">
        <f>IF( AND(S$3 &gt;= Вводные!$F236, S$3 &lt;= Вводные!$G236), 1, 0)</f>
        <v>1</v>
      </c>
      <c r="T17" s="3">
        <f>IF( AND(T$3 &gt;= Вводные!$F236, T$3 &lt;= Вводные!$G236), 1, 0)</f>
        <v>1</v>
      </c>
      <c r="U17" s="3">
        <f>IF( AND(U$3 &gt;= Вводные!$F236, U$3 &lt;= Вводные!$G236), 1, 0)</f>
        <v>1</v>
      </c>
      <c r="V17" s="3">
        <f>IF( AND(V$3 &gt;= Вводные!$F236, V$3 &lt;= Вводные!$G236), 1, 0)</f>
        <v>1</v>
      </c>
      <c r="W17" s="3">
        <f>IF( AND(W$3 &gt;= Вводные!$F236, W$3 &lt;= Вводные!$G236), 1, 0)</f>
        <v>1</v>
      </c>
      <c r="X17" s="3">
        <f>IF( AND(X$3 &gt;= Вводные!$F236, X$3 &lt;= Вводные!$G236), 1, 0)</f>
        <v>1</v>
      </c>
      <c r="Y17" s="3">
        <f>IF( AND(Y$3 &gt;= Вводные!$F236, Y$3 &lt;= Вводные!$G236), 1, 0)</f>
        <v>1</v>
      </c>
      <c r="Z17" s="3">
        <f>IF( AND(Z$3 &gt;= Вводные!$F236, Z$3 &lt;= Вводные!$G236), 1, 0)</f>
        <v>1</v>
      </c>
      <c r="AA17" s="3">
        <f>IF( AND(AA$3 &gt;= Вводные!$F236, AA$3 &lt;= Вводные!$G236), 1, 0)</f>
        <v>1</v>
      </c>
      <c r="AB17" s="3">
        <f>IF( AND(AB$3 &gt;= Вводные!$F236, AB$3 &lt;= Вводные!$G236), 1, 0)</f>
        <v>1</v>
      </c>
      <c r="AC17" s="3">
        <f>IF( AND(AC$3 &gt;= Вводные!$F236, AC$3 &lt;= Вводные!$G236), 1, 0)</f>
        <v>1</v>
      </c>
      <c r="AD17" s="3">
        <f>IF( AND(AD$3 &gt;= Вводные!$F236, AD$3 &lt;= Вводные!$G236), 1, 0)</f>
        <v>1</v>
      </c>
      <c r="AE17" s="3">
        <f>IF( AND(AE$3 &gt;= Вводные!$F236, AE$3 &lt;= Вводные!$G236), 1, 0)</f>
        <v>1</v>
      </c>
      <c r="AF17" s="3">
        <f>IF( AND(AF$3 &gt;= Вводные!$F236, AF$3 &lt;= Вводные!$G236), 1, 0)</f>
        <v>1</v>
      </c>
      <c r="AG17" s="3">
        <f>IF( AND(AG$3 &gt;= Вводные!$F236, AG$3 &lt;= Вводные!$G236), 1, 0)</f>
        <v>1</v>
      </c>
      <c r="AH17" s="3">
        <f>IF( AND(AH$3 &gt;= Вводные!$F236, AH$3 &lt;= Вводные!$G236), 1, 0)</f>
        <v>1</v>
      </c>
      <c r="AI17" s="3">
        <f>IF( AND(AI$3 &gt;= Вводные!$F236, AI$3 &lt;= Вводные!$G236), 1, 0)</f>
        <v>1</v>
      </c>
      <c r="AJ17" s="3">
        <f>IF( AND(AJ$3 &gt;= Вводные!$F236, AJ$3 &lt;= Вводные!$G236), 1, 0)</f>
        <v>1</v>
      </c>
      <c r="AK17" s="3">
        <f>IF( AND(AK$3 &gt;= Вводные!$F236, AK$3 &lt;= Вводные!$G236), 1, 0)</f>
        <v>1</v>
      </c>
      <c r="AL17" s="3">
        <f>IF( AND(AL$3 &gt;= Вводные!$F236, AL$3 &lt;= Вводные!$G236), 1, 0)</f>
        <v>1</v>
      </c>
      <c r="AM17" s="3">
        <f>IF( AND(AM$3 &gt;= Вводные!$F236, AM$3 &lt;= Вводные!$G236), 1, 0)</f>
        <v>1</v>
      </c>
      <c r="AN17" s="3">
        <f>IF( AND(AN$3 &gt;= Вводные!$F236, AN$3 &lt;= Вводные!$G236), 1, 0)</f>
        <v>1</v>
      </c>
      <c r="AO17" s="3">
        <f>IF( AND(AO$3 &gt;= Вводные!$F236, AO$3 &lt;= Вводные!$G236), 1, 0)</f>
        <v>1</v>
      </c>
      <c r="AP17" s="3">
        <f>IF( AND(AP$3 &gt;= Вводные!$F236, AP$3 &lt;= Вводные!$G236), 1, 0)</f>
        <v>1</v>
      </c>
      <c r="AQ17" s="3">
        <f>IF( AND(AQ$3 &gt;= Вводные!$F236, AQ$3 &lt;= Вводные!$G236), 1, 0)</f>
        <v>1</v>
      </c>
      <c r="AR17" s="3">
        <f>IF( AND(AR$3 &gt;= Вводные!$F236, AR$3 &lt;= Вводные!$G236), 1, 0)</f>
        <v>1</v>
      </c>
      <c r="AS17" s="3">
        <f>IF( AND(AS$3 &gt;= Вводные!$F236, AS$3 &lt;= Вводные!$G236), 1, 0)</f>
        <v>1</v>
      </c>
      <c r="AT17" s="3">
        <f>IF( AND(AT$3 &gt;= Вводные!$F236, AT$3 &lt;= Вводные!$G236), 1, 0)</f>
        <v>1</v>
      </c>
      <c r="AU17" s="3">
        <f>IF( AND(AU$3 &gt;= Вводные!$F236, AU$3 &lt;= Вводные!$G236), 1, 0)</f>
        <v>0</v>
      </c>
      <c r="AV17" s="3">
        <f>IF( AND(AV$3 &gt;= Вводные!$F236, AV$3 &lt;= Вводные!$G236), 1, 0)</f>
        <v>0</v>
      </c>
      <c r="AW17" s="3">
        <f>IF( AND(AW$3 &gt;= Вводные!$F236, AW$3 &lt;= Вводные!$G236), 1, 0)</f>
        <v>0</v>
      </c>
      <c r="AX17" s="3">
        <f>IF( AND(AX$3 &gt;= Вводные!$F236, AX$3 &lt;= Вводные!$G236), 1, 0)</f>
        <v>0</v>
      </c>
      <c r="AY17" s="3">
        <f>IF( AND(AY$3 &gt;= Вводные!$F236, AY$3 &lt;= Вводные!$G236), 1, 0)</f>
        <v>0</v>
      </c>
      <c r="AZ17" s="3">
        <f>IF( AND(AZ$3 &gt;= Вводные!$F236, AZ$3 &lt;= Вводные!$G236), 1, 0)</f>
        <v>0</v>
      </c>
      <c r="BA17" s="3">
        <f>IF( AND(BA$3 &gt;= Вводные!$F236, BA$3 &lt;= Вводные!$G236), 1, 0)</f>
        <v>0</v>
      </c>
      <c r="BB17" s="3">
        <f>IF( AND(BB$3 &gt;= Вводные!$F236, BB$3 &lt;= Вводные!$G236), 1, 0)</f>
        <v>0</v>
      </c>
      <c r="BC17" s="3">
        <f>IF( AND(BC$3 &gt;= Вводные!$F236, BC$3 &lt;= Вводные!$G236), 1, 0)</f>
        <v>0</v>
      </c>
      <c r="BD17" s="3">
        <f>IF( AND(BD$3 &gt;= Вводные!$F236, BD$3 &lt;= Вводные!$G236), 1, 0)</f>
        <v>0</v>
      </c>
      <c r="BE17" s="3">
        <f>IF( AND(BE$3 &gt;= Вводные!$F236, BE$3 &lt;= Вводные!$G236), 1, 0)</f>
        <v>0</v>
      </c>
      <c r="BF17" s="3">
        <f>IF( AND(BF$3 &gt;= Вводные!$F236, BF$3 &lt;= Вводные!$G236), 1, 0)</f>
        <v>0</v>
      </c>
      <c r="BG17" s="3">
        <f>IF( AND(BG$3 &gt;= Вводные!$F236, BG$3 &lt;= Вводные!$G236), 1, 0)</f>
        <v>0</v>
      </c>
      <c r="BH17" s="3">
        <f>IF( AND(BH$3 &gt;= Вводные!$F236, BH$3 &lt;= Вводные!$G236), 1, 0)</f>
        <v>0</v>
      </c>
      <c r="BI17" s="3">
        <f>IF( AND(BI$3 &gt;= Вводные!$F236, BI$3 &lt;= Вводные!$G236), 1, 0)</f>
        <v>0</v>
      </c>
      <c r="BJ17" s="3">
        <f>IF( AND(BJ$3 &gt;= Вводные!$F236, BJ$3 &lt;= Вводные!$G236), 1, 0)</f>
        <v>0</v>
      </c>
    </row>
    <row r="18" spans="4:62" x14ac:dyDescent="0.15">
      <c r="D18" s="11" t="str">
        <f>Вводные!$D$185</f>
        <v>Ежемесячный расход на цели 6</v>
      </c>
      <c r="E18" s="12" t="s">
        <v>37</v>
      </c>
      <c r="J18" s="3">
        <f>IF( AND(J$3 &gt;= Вводные!$F237, J$3 &lt;= Вводные!$G237), 1, 0)</f>
        <v>1</v>
      </c>
      <c r="K18" s="3">
        <f>IF( AND(K$3 &gt;= Вводные!$F237, K$3 &lt;= Вводные!$G237), 1, 0)</f>
        <v>1</v>
      </c>
      <c r="L18" s="3">
        <f>IF( AND(L$3 &gt;= Вводные!$F237, L$3 &lt;= Вводные!$G237), 1, 0)</f>
        <v>1</v>
      </c>
      <c r="M18" s="3">
        <f>IF( AND(M$3 &gt;= Вводные!$F237, M$3 &lt;= Вводные!$G237), 1, 0)</f>
        <v>1</v>
      </c>
      <c r="N18" s="3">
        <f>IF( AND(N$3 &gt;= Вводные!$F237, N$3 &lt;= Вводные!$G237), 1, 0)</f>
        <v>1</v>
      </c>
      <c r="O18" s="3">
        <f>IF( AND(O$3 &gt;= Вводные!$F237, O$3 &lt;= Вводные!$G237), 1, 0)</f>
        <v>1</v>
      </c>
      <c r="P18" s="3">
        <f>IF( AND(P$3 &gt;= Вводные!$F237, P$3 &lt;= Вводные!$G237), 1, 0)</f>
        <v>1</v>
      </c>
      <c r="Q18" s="3">
        <f>IF( AND(Q$3 &gt;= Вводные!$F237, Q$3 &lt;= Вводные!$G237), 1, 0)</f>
        <v>1</v>
      </c>
      <c r="R18" s="3">
        <f>IF( AND(R$3 &gt;= Вводные!$F237, R$3 &lt;= Вводные!$G237), 1, 0)</f>
        <v>1</v>
      </c>
      <c r="S18" s="3">
        <f>IF( AND(S$3 &gt;= Вводные!$F237, S$3 &lt;= Вводные!$G237), 1, 0)</f>
        <v>1</v>
      </c>
      <c r="T18" s="3">
        <f>IF( AND(T$3 &gt;= Вводные!$F237, T$3 &lt;= Вводные!$G237), 1, 0)</f>
        <v>1</v>
      </c>
      <c r="U18" s="3">
        <f>IF( AND(U$3 &gt;= Вводные!$F237, U$3 &lt;= Вводные!$G237), 1, 0)</f>
        <v>1</v>
      </c>
      <c r="V18" s="3">
        <f>IF( AND(V$3 &gt;= Вводные!$F237, V$3 &lt;= Вводные!$G237), 1, 0)</f>
        <v>1</v>
      </c>
      <c r="W18" s="3">
        <f>IF( AND(W$3 &gt;= Вводные!$F237, W$3 &lt;= Вводные!$G237), 1, 0)</f>
        <v>1</v>
      </c>
      <c r="X18" s="3">
        <f>IF( AND(X$3 &gt;= Вводные!$F237, X$3 &lt;= Вводные!$G237), 1, 0)</f>
        <v>1</v>
      </c>
      <c r="Y18" s="3">
        <f>IF( AND(Y$3 &gt;= Вводные!$F237, Y$3 &lt;= Вводные!$G237), 1, 0)</f>
        <v>1</v>
      </c>
      <c r="Z18" s="3">
        <f>IF( AND(Z$3 &gt;= Вводные!$F237, Z$3 &lt;= Вводные!$G237), 1, 0)</f>
        <v>1</v>
      </c>
      <c r="AA18" s="3">
        <f>IF( AND(AA$3 &gt;= Вводные!$F237, AA$3 &lt;= Вводные!$G237), 1, 0)</f>
        <v>1</v>
      </c>
      <c r="AB18" s="3">
        <f>IF( AND(AB$3 &gt;= Вводные!$F237, AB$3 &lt;= Вводные!$G237), 1, 0)</f>
        <v>1</v>
      </c>
      <c r="AC18" s="3">
        <f>IF( AND(AC$3 &gt;= Вводные!$F237, AC$3 &lt;= Вводные!$G237), 1, 0)</f>
        <v>1</v>
      </c>
      <c r="AD18" s="3">
        <f>IF( AND(AD$3 &gt;= Вводные!$F237, AD$3 &lt;= Вводные!$G237), 1, 0)</f>
        <v>1</v>
      </c>
      <c r="AE18" s="3">
        <f>IF( AND(AE$3 &gt;= Вводные!$F237, AE$3 &lt;= Вводные!$G237), 1, 0)</f>
        <v>1</v>
      </c>
      <c r="AF18" s="3">
        <f>IF( AND(AF$3 &gt;= Вводные!$F237, AF$3 &lt;= Вводные!$G237), 1, 0)</f>
        <v>1</v>
      </c>
      <c r="AG18" s="3">
        <f>IF( AND(AG$3 &gt;= Вводные!$F237, AG$3 &lt;= Вводные!$G237), 1, 0)</f>
        <v>1</v>
      </c>
      <c r="AH18" s="3">
        <f>IF( AND(AH$3 &gt;= Вводные!$F237, AH$3 &lt;= Вводные!$G237), 1, 0)</f>
        <v>1</v>
      </c>
      <c r="AI18" s="3">
        <f>IF( AND(AI$3 &gt;= Вводные!$F237, AI$3 &lt;= Вводные!$G237), 1, 0)</f>
        <v>1</v>
      </c>
      <c r="AJ18" s="3">
        <f>IF( AND(AJ$3 &gt;= Вводные!$F237, AJ$3 &lt;= Вводные!$G237), 1, 0)</f>
        <v>1</v>
      </c>
      <c r="AK18" s="3">
        <f>IF( AND(AK$3 &gt;= Вводные!$F237, AK$3 &lt;= Вводные!$G237), 1, 0)</f>
        <v>1</v>
      </c>
      <c r="AL18" s="3">
        <f>IF( AND(AL$3 &gt;= Вводные!$F237, AL$3 &lt;= Вводные!$G237), 1, 0)</f>
        <v>1</v>
      </c>
      <c r="AM18" s="3">
        <f>IF( AND(AM$3 &gt;= Вводные!$F237, AM$3 &lt;= Вводные!$G237), 1, 0)</f>
        <v>1</v>
      </c>
      <c r="AN18" s="3">
        <f>IF( AND(AN$3 &gt;= Вводные!$F237, AN$3 &lt;= Вводные!$G237), 1, 0)</f>
        <v>1</v>
      </c>
      <c r="AO18" s="3">
        <f>IF( AND(AO$3 &gt;= Вводные!$F237, AO$3 &lt;= Вводные!$G237), 1, 0)</f>
        <v>1</v>
      </c>
      <c r="AP18" s="3">
        <f>IF( AND(AP$3 &gt;= Вводные!$F237, AP$3 &lt;= Вводные!$G237), 1, 0)</f>
        <v>1</v>
      </c>
      <c r="AQ18" s="3">
        <f>IF( AND(AQ$3 &gt;= Вводные!$F237, AQ$3 &lt;= Вводные!$G237), 1, 0)</f>
        <v>1</v>
      </c>
      <c r="AR18" s="3">
        <f>IF( AND(AR$3 &gt;= Вводные!$F237, AR$3 &lt;= Вводные!$G237), 1, 0)</f>
        <v>1</v>
      </c>
      <c r="AS18" s="3">
        <f>IF( AND(AS$3 &gt;= Вводные!$F237, AS$3 &lt;= Вводные!$G237), 1, 0)</f>
        <v>1</v>
      </c>
      <c r="AT18" s="3">
        <f>IF( AND(AT$3 &gt;= Вводные!$F237, AT$3 &lt;= Вводные!$G237), 1, 0)</f>
        <v>1</v>
      </c>
      <c r="AU18" s="3">
        <f>IF( AND(AU$3 &gt;= Вводные!$F237, AU$3 &lt;= Вводные!$G237), 1, 0)</f>
        <v>0</v>
      </c>
      <c r="AV18" s="3">
        <f>IF( AND(AV$3 &gt;= Вводные!$F237, AV$3 &lt;= Вводные!$G237), 1, 0)</f>
        <v>0</v>
      </c>
      <c r="AW18" s="3">
        <f>IF( AND(AW$3 &gt;= Вводные!$F237, AW$3 &lt;= Вводные!$G237), 1, 0)</f>
        <v>0</v>
      </c>
      <c r="AX18" s="3">
        <f>IF( AND(AX$3 &gt;= Вводные!$F237, AX$3 &lt;= Вводные!$G237), 1, 0)</f>
        <v>0</v>
      </c>
      <c r="AY18" s="3">
        <f>IF( AND(AY$3 &gt;= Вводные!$F237, AY$3 &lt;= Вводные!$G237), 1, 0)</f>
        <v>0</v>
      </c>
      <c r="AZ18" s="3">
        <f>IF( AND(AZ$3 &gt;= Вводные!$F237, AZ$3 &lt;= Вводные!$G237), 1, 0)</f>
        <v>0</v>
      </c>
      <c r="BA18" s="3">
        <f>IF( AND(BA$3 &gt;= Вводные!$F237, BA$3 &lt;= Вводные!$G237), 1, 0)</f>
        <v>0</v>
      </c>
      <c r="BB18" s="3">
        <f>IF( AND(BB$3 &gt;= Вводные!$F237, BB$3 &lt;= Вводные!$G237), 1, 0)</f>
        <v>0</v>
      </c>
      <c r="BC18" s="3">
        <f>IF( AND(BC$3 &gt;= Вводные!$F237, BC$3 &lt;= Вводные!$G237), 1, 0)</f>
        <v>0</v>
      </c>
      <c r="BD18" s="3">
        <f>IF( AND(BD$3 &gt;= Вводные!$F237, BD$3 &lt;= Вводные!$G237), 1, 0)</f>
        <v>0</v>
      </c>
      <c r="BE18" s="3">
        <f>IF( AND(BE$3 &gt;= Вводные!$F237, BE$3 &lt;= Вводные!$G237), 1, 0)</f>
        <v>0</v>
      </c>
      <c r="BF18" s="3">
        <f>IF( AND(BF$3 &gt;= Вводные!$F237, BF$3 &lt;= Вводные!$G237), 1, 0)</f>
        <v>0</v>
      </c>
      <c r="BG18" s="3">
        <f>IF( AND(BG$3 &gt;= Вводные!$F237, BG$3 &lt;= Вводные!$G237), 1, 0)</f>
        <v>0</v>
      </c>
      <c r="BH18" s="3">
        <f>IF( AND(BH$3 &gt;= Вводные!$F237, BH$3 &lt;= Вводные!$G237), 1, 0)</f>
        <v>0</v>
      </c>
      <c r="BI18" s="3">
        <f>IF( AND(BI$3 &gt;= Вводные!$F237, BI$3 &lt;= Вводные!$G237), 1, 0)</f>
        <v>0</v>
      </c>
      <c r="BJ18" s="3">
        <f>IF( AND(BJ$3 &gt;= Вводные!$F237, BJ$3 &lt;= Вводные!$G237), 1, 0)</f>
        <v>0</v>
      </c>
    </row>
    <row r="19" spans="4:62" x14ac:dyDescent="0.15">
      <c r="D19" s="11" t="str">
        <f>Вводные!$D$186</f>
        <v>Ежемесячный расход на цели 7</v>
      </c>
      <c r="E19" s="12" t="s">
        <v>37</v>
      </c>
      <c r="J19" s="3">
        <f>IF( AND(J$3 &gt;= Вводные!$F238, J$3 &lt;= Вводные!$G238), 1, 0)</f>
        <v>1</v>
      </c>
      <c r="K19" s="3">
        <f>IF( AND(K$3 &gt;= Вводные!$F238, K$3 &lt;= Вводные!$G238), 1, 0)</f>
        <v>1</v>
      </c>
      <c r="L19" s="3">
        <f>IF( AND(L$3 &gt;= Вводные!$F238, L$3 &lt;= Вводные!$G238), 1, 0)</f>
        <v>1</v>
      </c>
      <c r="M19" s="3">
        <f>IF( AND(M$3 &gt;= Вводные!$F238, M$3 &lt;= Вводные!$G238), 1, 0)</f>
        <v>1</v>
      </c>
      <c r="N19" s="3">
        <f>IF( AND(N$3 &gt;= Вводные!$F238, N$3 &lt;= Вводные!$G238), 1, 0)</f>
        <v>1</v>
      </c>
      <c r="O19" s="3">
        <f>IF( AND(O$3 &gt;= Вводные!$F238, O$3 &lt;= Вводные!$G238), 1, 0)</f>
        <v>1</v>
      </c>
      <c r="P19" s="3">
        <f>IF( AND(P$3 &gt;= Вводные!$F238, P$3 &lt;= Вводные!$G238), 1, 0)</f>
        <v>1</v>
      </c>
      <c r="Q19" s="3">
        <f>IF( AND(Q$3 &gt;= Вводные!$F238, Q$3 &lt;= Вводные!$G238), 1, 0)</f>
        <v>1</v>
      </c>
      <c r="R19" s="3">
        <f>IF( AND(R$3 &gt;= Вводные!$F238, R$3 &lt;= Вводные!$G238), 1, 0)</f>
        <v>1</v>
      </c>
      <c r="S19" s="3">
        <f>IF( AND(S$3 &gt;= Вводные!$F238, S$3 &lt;= Вводные!$G238), 1, 0)</f>
        <v>1</v>
      </c>
      <c r="T19" s="3">
        <f>IF( AND(T$3 &gt;= Вводные!$F238, T$3 &lt;= Вводные!$G238), 1, 0)</f>
        <v>1</v>
      </c>
      <c r="U19" s="3">
        <f>IF( AND(U$3 &gt;= Вводные!$F238, U$3 &lt;= Вводные!$G238), 1, 0)</f>
        <v>1</v>
      </c>
      <c r="V19" s="3">
        <f>IF( AND(V$3 &gt;= Вводные!$F238, V$3 &lt;= Вводные!$G238), 1, 0)</f>
        <v>1</v>
      </c>
      <c r="W19" s="3">
        <f>IF( AND(W$3 &gt;= Вводные!$F238, W$3 &lt;= Вводные!$G238), 1, 0)</f>
        <v>1</v>
      </c>
      <c r="X19" s="3">
        <f>IF( AND(X$3 &gt;= Вводные!$F238, X$3 &lt;= Вводные!$G238), 1, 0)</f>
        <v>1</v>
      </c>
      <c r="Y19" s="3">
        <f>IF( AND(Y$3 &gt;= Вводные!$F238, Y$3 &lt;= Вводные!$G238), 1, 0)</f>
        <v>1</v>
      </c>
      <c r="Z19" s="3">
        <f>IF( AND(Z$3 &gt;= Вводные!$F238, Z$3 &lt;= Вводные!$G238), 1, 0)</f>
        <v>1</v>
      </c>
      <c r="AA19" s="3">
        <f>IF( AND(AA$3 &gt;= Вводные!$F238, AA$3 &lt;= Вводные!$G238), 1, 0)</f>
        <v>1</v>
      </c>
      <c r="AB19" s="3">
        <f>IF( AND(AB$3 &gt;= Вводные!$F238, AB$3 &lt;= Вводные!$G238), 1, 0)</f>
        <v>1</v>
      </c>
      <c r="AC19" s="3">
        <f>IF( AND(AC$3 &gt;= Вводные!$F238, AC$3 &lt;= Вводные!$G238), 1, 0)</f>
        <v>1</v>
      </c>
      <c r="AD19" s="3">
        <f>IF( AND(AD$3 &gt;= Вводные!$F238, AD$3 &lt;= Вводные!$G238), 1, 0)</f>
        <v>1</v>
      </c>
      <c r="AE19" s="3">
        <f>IF( AND(AE$3 &gt;= Вводные!$F238, AE$3 &lt;= Вводные!$G238), 1, 0)</f>
        <v>1</v>
      </c>
      <c r="AF19" s="3">
        <f>IF( AND(AF$3 &gt;= Вводные!$F238, AF$3 &lt;= Вводные!$G238), 1, 0)</f>
        <v>1</v>
      </c>
      <c r="AG19" s="3">
        <f>IF( AND(AG$3 &gt;= Вводные!$F238, AG$3 &lt;= Вводные!$G238), 1, 0)</f>
        <v>1</v>
      </c>
      <c r="AH19" s="3">
        <f>IF( AND(AH$3 &gt;= Вводные!$F238, AH$3 &lt;= Вводные!$G238), 1, 0)</f>
        <v>1</v>
      </c>
      <c r="AI19" s="3">
        <f>IF( AND(AI$3 &gt;= Вводные!$F238, AI$3 &lt;= Вводные!$G238), 1, 0)</f>
        <v>1</v>
      </c>
      <c r="AJ19" s="3">
        <f>IF( AND(AJ$3 &gt;= Вводные!$F238, AJ$3 &lt;= Вводные!$G238), 1, 0)</f>
        <v>1</v>
      </c>
      <c r="AK19" s="3">
        <f>IF( AND(AK$3 &gt;= Вводные!$F238, AK$3 &lt;= Вводные!$G238), 1, 0)</f>
        <v>1</v>
      </c>
      <c r="AL19" s="3">
        <f>IF( AND(AL$3 &gt;= Вводные!$F238, AL$3 &lt;= Вводные!$G238), 1, 0)</f>
        <v>1</v>
      </c>
      <c r="AM19" s="3">
        <f>IF( AND(AM$3 &gt;= Вводные!$F238, AM$3 &lt;= Вводные!$G238), 1, 0)</f>
        <v>1</v>
      </c>
      <c r="AN19" s="3">
        <f>IF( AND(AN$3 &gt;= Вводные!$F238, AN$3 &lt;= Вводные!$G238), 1, 0)</f>
        <v>1</v>
      </c>
      <c r="AO19" s="3">
        <f>IF( AND(AO$3 &gt;= Вводные!$F238, AO$3 &lt;= Вводные!$G238), 1, 0)</f>
        <v>1</v>
      </c>
      <c r="AP19" s="3">
        <f>IF( AND(AP$3 &gt;= Вводные!$F238, AP$3 &lt;= Вводные!$G238), 1, 0)</f>
        <v>1</v>
      </c>
      <c r="AQ19" s="3">
        <f>IF( AND(AQ$3 &gt;= Вводные!$F238, AQ$3 &lt;= Вводные!$G238), 1, 0)</f>
        <v>1</v>
      </c>
      <c r="AR19" s="3">
        <f>IF( AND(AR$3 &gt;= Вводные!$F238, AR$3 &lt;= Вводные!$G238), 1, 0)</f>
        <v>1</v>
      </c>
      <c r="AS19" s="3">
        <f>IF( AND(AS$3 &gt;= Вводные!$F238, AS$3 &lt;= Вводные!$G238), 1, 0)</f>
        <v>1</v>
      </c>
      <c r="AT19" s="3">
        <f>IF( AND(AT$3 &gt;= Вводные!$F238, AT$3 &lt;= Вводные!$G238), 1, 0)</f>
        <v>1</v>
      </c>
      <c r="AU19" s="3">
        <f>IF( AND(AU$3 &gt;= Вводные!$F238, AU$3 &lt;= Вводные!$G238), 1, 0)</f>
        <v>0</v>
      </c>
      <c r="AV19" s="3">
        <f>IF( AND(AV$3 &gt;= Вводные!$F238, AV$3 &lt;= Вводные!$G238), 1, 0)</f>
        <v>0</v>
      </c>
      <c r="AW19" s="3">
        <f>IF( AND(AW$3 &gt;= Вводные!$F238, AW$3 &lt;= Вводные!$G238), 1, 0)</f>
        <v>0</v>
      </c>
      <c r="AX19" s="3">
        <f>IF( AND(AX$3 &gt;= Вводные!$F238, AX$3 &lt;= Вводные!$G238), 1, 0)</f>
        <v>0</v>
      </c>
      <c r="AY19" s="3">
        <f>IF( AND(AY$3 &gt;= Вводные!$F238, AY$3 &lt;= Вводные!$G238), 1, 0)</f>
        <v>0</v>
      </c>
      <c r="AZ19" s="3">
        <f>IF( AND(AZ$3 &gt;= Вводные!$F238, AZ$3 &lt;= Вводные!$G238), 1, 0)</f>
        <v>0</v>
      </c>
      <c r="BA19" s="3">
        <f>IF( AND(BA$3 &gt;= Вводные!$F238, BA$3 &lt;= Вводные!$G238), 1, 0)</f>
        <v>0</v>
      </c>
      <c r="BB19" s="3">
        <f>IF( AND(BB$3 &gt;= Вводные!$F238, BB$3 &lt;= Вводные!$G238), 1, 0)</f>
        <v>0</v>
      </c>
      <c r="BC19" s="3">
        <f>IF( AND(BC$3 &gt;= Вводные!$F238, BC$3 &lt;= Вводные!$G238), 1, 0)</f>
        <v>0</v>
      </c>
      <c r="BD19" s="3">
        <f>IF( AND(BD$3 &gt;= Вводные!$F238, BD$3 &lt;= Вводные!$G238), 1, 0)</f>
        <v>0</v>
      </c>
      <c r="BE19" s="3">
        <f>IF( AND(BE$3 &gt;= Вводные!$F238, BE$3 &lt;= Вводные!$G238), 1, 0)</f>
        <v>0</v>
      </c>
      <c r="BF19" s="3">
        <f>IF( AND(BF$3 &gt;= Вводные!$F238, BF$3 &lt;= Вводные!$G238), 1, 0)</f>
        <v>0</v>
      </c>
      <c r="BG19" s="3">
        <f>IF( AND(BG$3 &gt;= Вводные!$F238, BG$3 &lt;= Вводные!$G238), 1, 0)</f>
        <v>0</v>
      </c>
      <c r="BH19" s="3">
        <f>IF( AND(BH$3 &gt;= Вводные!$F238, BH$3 &lt;= Вводные!$G238), 1, 0)</f>
        <v>0</v>
      </c>
      <c r="BI19" s="3">
        <f>IF( AND(BI$3 &gt;= Вводные!$F238, BI$3 &lt;= Вводные!$G238), 1, 0)</f>
        <v>0</v>
      </c>
      <c r="BJ19" s="3">
        <f>IF( AND(BJ$3 &gt;= Вводные!$F238, BJ$3 &lt;= Вводные!$G238), 1, 0)</f>
        <v>0</v>
      </c>
    </row>
    <row r="20" spans="4:62" x14ac:dyDescent="0.15">
      <c r="D20" s="11" t="str">
        <f>Вводные!$D$187</f>
        <v>Ежемесячный расход на цели 8</v>
      </c>
      <c r="E20" s="12" t="s">
        <v>37</v>
      </c>
      <c r="J20" s="3">
        <f>IF( AND(J$3 &gt;= Вводные!$F239, J$3 &lt;= Вводные!$G239), 1, 0)</f>
        <v>1</v>
      </c>
      <c r="K20" s="3">
        <f>IF( AND(K$3 &gt;= Вводные!$F239, K$3 &lt;= Вводные!$G239), 1, 0)</f>
        <v>1</v>
      </c>
      <c r="L20" s="3">
        <f>IF( AND(L$3 &gt;= Вводные!$F239, L$3 &lt;= Вводные!$G239), 1, 0)</f>
        <v>1</v>
      </c>
      <c r="M20" s="3">
        <f>IF( AND(M$3 &gt;= Вводные!$F239, M$3 &lt;= Вводные!$G239), 1, 0)</f>
        <v>1</v>
      </c>
      <c r="N20" s="3">
        <f>IF( AND(N$3 &gt;= Вводные!$F239, N$3 &lt;= Вводные!$G239), 1, 0)</f>
        <v>1</v>
      </c>
      <c r="O20" s="3">
        <f>IF( AND(O$3 &gt;= Вводные!$F239, O$3 &lt;= Вводные!$G239), 1, 0)</f>
        <v>1</v>
      </c>
      <c r="P20" s="3">
        <f>IF( AND(P$3 &gt;= Вводные!$F239, P$3 &lt;= Вводные!$G239), 1, 0)</f>
        <v>1</v>
      </c>
      <c r="Q20" s="3">
        <f>IF( AND(Q$3 &gt;= Вводные!$F239, Q$3 &lt;= Вводные!$G239), 1, 0)</f>
        <v>1</v>
      </c>
      <c r="R20" s="3">
        <f>IF( AND(R$3 &gt;= Вводные!$F239, R$3 &lt;= Вводные!$G239), 1, 0)</f>
        <v>1</v>
      </c>
      <c r="S20" s="3">
        <f>IF( AND(S$3 &gt;= Вводные!$F239, S$3 &lt;= Вводные!$G239), 1, 0)</f>
        <v>1</v>
      </c>
      <c r="T20" s="3">
        <f>IF( AND(T$3 &gt;= Вводные!$F239, T$3 &lt;= Вводные!$G239), 1, 0)</f>
        <v>1</v>
      </c>
      <c r="U20" s="3">
        <f>IF( AND(U$3 &gt;= Вводные!$F239, U$3 &lt;= Вводные!$G239), 1, 0)</f>
        <v>1</v>
      </c>
      <c r="V20" s="3">
        <f>IF( AND(V$3 &gt;= Вводные!$F239, V$3 &lt;= Вводные!$G239), 1, 0)</f>
        <v>1</v>
      </c>
      <c r="W20" s="3">
        <f>IF( AND(W$3 &gt;= Вводные!$F239, W$3 &lt;= Вводные!$G239), 1, 0)</f>
        <v>1</v>
      </c>
      <c r="X20" s="3">
        <f>IF( AND(X$3 &gt;= Вводные!$F239, X$3 &lt;= Вводные!$G239), 1, 0)</f>
        <v>1</v>
      </c>
      <c r="Y20" s="3">
        <f>IF( AND(Y$3 &gt;= Вводные!$F239, Y$3 &lt;= Вводные!$G239), 1, 0)</f>
        <v>1</v>
      </c>
      <c r="Z20" s="3">
        <f>IF( AND(Z$3 &gt;= Вводные!$F239, Z$3 &lt;= Вводные!$G239), 1, 0)</f>
        <v>1</v>
      </c>
      <c r="AA20" s="3">
        <f>IF( AND(AA$3 &gt;= Вводные!$F239, AA$3 &lt;= Вводные!$G239), 1, 0)</f>
        <v>1</v>
      </c>
      <c r="AB20" s="3">
        <f>IF( AND(AB$3 &gt;= Вводные!$F239, AB$3 &lt;= Вводные!$G239), 1, 0)</f>
        <v>1</v>
      </c>
      <c r="AC20" s="3">
        <f>IF( AND(AC$3 &gt;= Вводные!$F239, AC$3 &lt;= Вводные!$G239), 1, 0)</f>
        <v>1</v>
      </c>
      <c r="AD20" s="3">
        <f>IF( AND(AD$3 &gt;= Вводные!$F239, AD$3 &lt;= Вводные!$G239), 1, 0)</f>
        <v>1</v>
      </c>
      <c r="AE20" s="3">
        <f>IF( AND(AE$3 &gt;= Вводные!$F239, AE$3 &lt;= Вводные!$G239), 1, 0)</f>
        <v>1</v>
      </c>
      <c r="AF20" s="3">
        <f>IF( AND(AF$3 &gt;= Вводные!$F239, AF$3 &lt;= Вводные!$G239), 1, 0)</f>
        <v>1</v>
      </c>
      <c r="AG20" s="3">
        <f>IF( AND(AG$3 &gt;= Вводные!$F239, AG$3 &lt;= Вводные!$G239), 1, 0)</f>
        <v>1</v>
      </c>
      <c r="AH20" s="3">
        <f>IF( AND(AH$3 &gt;= Вводные!$F239, AH$3 &lt;= Вводные!$G239), 1, 0)</f>
        <v>1</v>
      </c>
      <c r="AI20" s="3">
        <f>IF( AND(AI$3 &gt;= Вводные!$F239, AI$3 &lt;= Вводные!$G239), 1, 0)</f>
        <v>1</v>
      </c>
      <c r="AJ20" s="3">
        <f>IF( AND(AJ$3 &gt;= Вводные!$F239, AJ$3 &lt;= Вводные!$G239), 1, 0)</f>
        <v>1</v>
      </c>
      <c r="AK20" s="3">
        <f>IF( AND(AK$3 &gt;= Вводные!$F239, AK$3 &lt;= Вводные!$G239), 1, 0)</f>
        <v>1</v>
      </c>
      <c r="AL20" s="3">
        <f>IF( AND(AL$3 &gt;= Вводные!$F239, AL$3 &lt;= Вводные!$G239), 1, 0)</f>
        <v>1</v>
      </c>
      <c r="AM20" s="3">
        <f>IF( AND(AM$3 &gt;= Вводные!$F239, AM$3 &lt;= Вводные!$G239), 1, 0)</f>
        <v>1</v>
      </c>
      <c r="AN20" s="3">
        <f>IF( AND(AN$3 &gt;= Вводные!$F239, AN$3 &lt;= Вводные!$G239), 1, 0)</f>
        <v>1</v>
      </c>
      <c r="AO20" s="3">
        <f>IF( AND(AO$3 &gt;= Вводные!$F239, AO$3 &lt;= Вводные!$G239), 1, 0)</f>
        <v>1</v>
      </c>
      <c r="AP20" s="3">
        <f>IF( AND(AP$3 &gt;= Вводные!$F239, AP$3 &lt;= Вводные!$G239), 1, 0)</f>
        <v>1</v>
      </c>
      <c r="AQ20" s="3">
        <f>IF( AND(AQ$3 &gt;= Вводные!$F239, AQ$3 &lt;= Вводные!$G239), 1, 0)</f>
        <v>1</v>
      </c>
      <c r="AR20" s="3">
        <f>IF( AND(AR$3 &gt;= Вводные!$F239, AR$3 &lt;= Вводные!$G239), 1, 0)</f>
        <v>1</v>
      </c>
      <c r="AS20" s="3">
        <f>IF( AND(AS$3 &gt;= Вводные!$F239, AS$3 &lt;= Вводные!$G239), 1, 0)</f>
        <v>1</v>
      </c>
      <c r="AT20" s="3">
        <f>IF( AND(AT$3 &gt;= Вводные!$F239, AT$3 &lt;= Вводные!$G239), 1, 0)</f>
        <v>1</v>
      </c>
      <c r="AU20" s="3">
        <f>IF( AND(AU$3 &gt;= Вводные!$F239, AU$3 &lt;= Вводные!$G239), 1, 0)</f>
        <v>0</v>
      </c>
      <c r="AV20" s="3">
        <f>IF( AND(AV$3 &gt;= Вводные!$F239, AV$3 &lt;= Вводные!$G239), 1, 0)</f>
        <v>0</v>
      </c>
      <c r="AW20" s="3">
        <f>IF( AND(AW$3 &gt;= Вводные!$F239, AW$3 &lt;= Вводные!$G239), 1, 0)</f>
        <v>0</v>
      </c>
      <c r="AX20" s="3">
        <f>IF( AND(AX$3 &gt;= Вводные!$F239, AX$3 &lt;= Вводные!$G239), 1, 0)</f>
        <v>0</v>
      </c>
      <c r="AY20" s="3">
        <f>IF( AND(AY$3 &gt;= Вводные!$F239, AY$3 &lt;= Вводные!$G239), 1, 0)</f>
        <v>0</v>
      </c>
      <c r="AZ20" s="3">
        <f>IF( AND(AZ$3 &gt;= Вводные!$F239, AZ$3 &lt;= Вводные!$G239), 1, 0)</f>
        <v>0</v>
      </c>
      <c r="BA20" s="3">
        <f>IF( AND(BA$3 &gt;= Вводные!$F239, BA$3 &lt;= Вводные!$G239), 1, 0)</f>
        <v>0</v>
      </c>
      <c r="BB20" s="3">
        <f>IF( AND(BB$3 &gt;= Вводные!$F239, BB$3 &lt;= Вводные!$G239), 1, 0)</f>
        <v>0</v>
      </c>
      <c r="BC20" s="3">
        <f>IF( AND(BC$3 &gt;= Вводные!$F239, BC$3 &lt;= Вводные!$G239), 1, 0)</f>
        <v>0</v>
      </c>
      <c r="BD20" s="3">
        <f>IF( AND(BD$3 &gt;= Вводные!$F239, BD$3 &lt;= Вводные!$G239), 1, 0)</f>
        <v>0</v>
      </c>
      <c r="BE20" s="3">
        <f>IF( AND(BE$3 &gt;= Вводные!$F239, BE$3 &lt;= Вводные!$G239), 1, 0)</f>
        <v>0</v>
      </c>
      <c r="BF20" s="3">
        <f>IF( AND(BF$3 &gt;= Вводные!$F239, BF$3 &lt;= Вводные!$G239), 1, 0)</f>
        <v>0</v>
      </c>
      <c r="BG20" s="3">
        <f>IF( AND(BG$3 &gt;= Вводные!$F239, BG$3 &lt;= Вводные!$G239), 1, 0)</f>
        <v>0</v>
      </c>
      <c r="BH20" s="3">
        <f>IF( AND(BH$3 &gt;= Вводные!$F239, BH$3 &lt;= Вводные!$G239), 1, 0)</f>
        <v>0</v>
      </c>
      <c r="BI20" s="3">
        <f>IF( AND(BI$3 &gt;= Вводные!$F239, BI$3 &lt;= Вводные!$G239), 1, 0)</f>
        <v>0</v>
      </c>
      <c r="BJ20" s="3">
        <f>IF( AND(BJ$3 &gt;= Вводные!$F239, BJ$3 &lt;= Вводные!$G239), 1, 0)</f>
        <v>0</v>
      </c>
    </row>
    <row r="21" spans="4:62" x14ac:dyDescent="0.15">
      <c r="D21" s="11" t="str">
        <f>Вводные!$D$188</f>
        <v>Ежемесячный расход на цели 9</v>
      </c>
      <c r="E21" s="12" t="s">
        <v>37</v>
      </c>
      <c r="J21" s="3">
        <f>IF( AND(J$3 &gt;= Вводные!$F240, J$3 &lt;= Вводные!$G240), 1, 0)</f>
        <v>1</v>
      </c>
      <c r="K21" s="3">
        <f>IF( AND(K$3 &gt;= Вводные!$F240, K$3 &lt;= Вводные!$G240), 1, 0)</f>
        <v>1</v>
      </c>
      <c r="L21" s="3">
        <f>IF( AND(L$3 &gt;= Вводные!$F240, L$3 &lt;= Вводные!$G240), 1, 0)</f>
        <v>1</v>
      </c>
      <c r="M21" s="3">
        <f>IF( AND(M$3 &gt;= Вводные!$F240, M$3 &lt;= Вводные!$G240), 1, 0)</f>
        <v>1</v>
      </c>
      <c r="N21" s="3">
        <f>IF( AND(N$3 &gt;= Вводные!$F240, N$3 &lt;= Вводные!$G240), 1, 0)</f>
        <v>1</v>
      </c>
      <c r="O21" s="3">
        <f>IF( AND(O$3 &gt;= Вводные!$F240, O$3 &lt;= Вводные!$G240), 1, 0)</f>
        <v>1</v>
      </c>
      <c r="P21" s="3">
        <f>IF( AND(P$3 &gt;= Вводные!$F240, P$3 &lt;= Вводные!$G240), 1, 0)</f>
        <v>1</v>
      </c>
      <c r="Q21" s="3">
        <f>IF( AND(Q$3 &gt;= Вводные!$F240, Q$3 &lt;= Вводные!$G240), 1, 0)</f>
        <v>1</v>
      </c>
      <c r="R21" s="3">
        <f>IF( AND(R$3 &gt;= Вводные!$F240, R$3 &lt;= Вводные!$G240), 1, 0)</f>
        <v>1</v>
      </c>
      <c r="S21" s="3">
        <f>IF( AND(S$3 &gt;= Вводные!$F240, S$3 &lt;= Вводные!$G240), 1, 0)</f>
        <v>1</v>
      </c>
      <c r="T21" s="3">
        <f>IF( AND(T$3 &gt;= Вводные!$F240, T$3 &lt;= Вводные!$G240), 1, 0)</f>
        <v>1</v>
      </c>
      <c r="U21" s="3">
        <f>IF( AND(U$3 &gt;= Вводные!$F240, U$3 &lt;= Вводные!$G240), 1, 0)</f>
        <v>1</v>
      </c>
      <c r="V21" s="3">
        <f>IF( AND(V$3 &gt;= Вводные!$F240, V$3 &lt;= Вводные!$G240), 1, 0)</f>
        <v>1</v>
      </c>
      <c r="W21" s="3">
        <f>IF( AND(W$3 &gt;= Вводные!$F240, W$3 &lt;= Вводные!$G240), 1, 0)</f>
        <v>1</v>
      </c>
      <c r="X21" s="3">
        <f>IF( AND(X$3 &gt;= Вводные!$F240, X$3 &lt;= Вводные!$G240), 1, 0)</f>
        <v>1</v>
      </c>
      <c r="Y21" s="3">
        <f>IF( AND(Y$3 &gt;= Вводные!$F240, Y$3 &lt;= Вводные!$G240), 1, 0)</f>
        <v>1</v>
      </c>
      <c r="Z21" s="3">
        <f>IF( AND(Z$3 &gt;= Вводные!$F240, Z$3 &lt;= Вводные!$G240), 1, 0)</f>
        <v>1</v>
      </c>
      <c r="AA21" s="3">
        <f>IF( AND(AA$3 &gt;= Вводные!$F240, AA$3 &lt;= Вводные!$G240), 1, 0)</f>
        <v>1</v>
      </c>
      <c r="AB21" s="3">
        <f>IF( AND(AB$3 &gt;= Вводные!$F240, AB$3 &lt;= Вводные!$G240), 1, 0)</f>
        <v>1</v>
      </c>
      <c r="AC21" s="3">
        <f>IF( AND(AC$3 &gt;= Вводные!$F240, AC$3 &lt;= Вводные!$G240), 1, 0)</f>
        <v>1</v>
      </c>
      <c r="AD21" s="3">
        <f>IF( AND(AD$3 &gt;= Вводные!$F240, AD$3 &lt;= Вводные!$G240), 1, 0)</f>
        <v>1</v>
      </c>
      <c r="AE21" s="3">
        <f>IF( AND(AE$3 &gt;= Вводные!$F240, AE$3 &lt;= Вводные!$G240), 1, 0)</f>
        <v>1</v>
      </c>
      <c r="AF21" s="3">
        <f>IF( AND(AF$3 &gt;= Вводные!$F240, AF$3 &lt;= Вводные!$G240), 1, 0)</f>
        <v>1</v>
      </c>
      <c r="AG21" s="3">
        <f>IF( AND(AG$3 &gt;= Вводные!$F240, AG$3 &lt;= Вводные!$G240), 1, 0)</f>
        <v>1</v>
      </c>
      <c r="AH21" s="3">
        <f>IF( AND(AH$3 &gt;= Вводные!$F240, AH$3 &lt;= Вводные!$G240), 1, 0)</f>
        <v>1</v>
      </c>
      <c r="AI21" s="3">
        <f>IF( AND(AI$3 &gt;= Вводные!$F240, AI$3 &lt;= Вводные!$G240), 1, 0)</f>
        <v>1</v>
      </c>
      <c r="AJ21" s="3">
        <f>IF( AND(AJ$3 &gt;= Вводные!$F240, AJ$3 &lt;= Вводные!$G240), 1, 0)</f>
        <v>1</v>
      </c>
      <c r="AK21" s="3">
        <f>IF( AND(AK$3 &gt;= Вводные!$F240, AK$3 &lt;= Вводные!$G240), 1, 0)</f>
        <v>1</v>
      </c>
      <c r="AL21" s="3">
        <f>IF( AND(AL$3 &gt;= Вводные!$F240, AL$3 &lt;= Вводные!$G240), 1, 0)</f>
        <v>1</v>
      </c>
      <c r="AM21" s="3">
        <f>IF( AND(AM$3 &gt;= Вводные!$F240, AM$3 &lt;= Вводные!$G240), 1, 0)</f>
        <v>1</v>
      </c>
      <c r="AN21" s="3">
        <f>IF( AND(AN$3 &gt;= Вводные!$F240, AN$3 &lt;= Вводные!$G240), 1, 0)</f>
        <v>1</v>
      </c>
      <c r="AO21" s="3">
        <f>IF( AND(AO$3 &gt;= Вводные!$F240, AO$3 &lt;= Вводные!$G240), 1, 0)</f>
        <v>1</v>
      </c>
      <c r="AP21" s="3">
        <f>IF( AND(AP$3 &gt;= Вводные!$F240, AP$3 &lt;= Вводные!$G240), 1, 0)</f>
        <v>1</v>
      </c>
      <c r="AQ21" s="3">
        <f>IF( AND(AQ$3 &gt;= Вводные!$F240, AQ$3 &lt;= Вводные!$G240), 1, 0)</f>
        <v>1</v>
      </c>
      <c r="AR21" s="3">
        <f>IF( AND(AR$3 &gt;= Вводные!$F240, AR$3 &lt;= Вводные!$G240), 1, 0)</f>
        <v>1</v>
      </c>
      <c r="AS21" s="3">
        <f>IF( AND(AS$3 &gt;= Вводные!$F240, AS$3 &lt;= Вводные!$G240), 1, 0)</f>
        <v>1</v>
      </c>
      <c r="AT21" s="3">
        <f>IF( AND(AT$3 &gt;= Вводные!$F240, AT$3 &lt;= Вводные!$G240), 1, 0)</f>
        <v>1</v>
      </c>
      <c r="AU21" s="3">
        <f>IF( AND(AU$3 &gt;= Вводные!$F240, AU$3 &lt;= Вводные!$G240), 1, 0)</f>
        <v>0</v>
      </c>
      <c r="AV21" s="3">
        <f>IF( AND(AV$3 &gt;= Вводные!$F240, AV$3 &lt;= Вводные!$G240), 1, 0)</f>
        <v>0</v>
      </c>
      <c r="AW21" s="3">
        <f>IF( AND(AW$3 &gt;= Вводные!$F240, AW$3 &lt;= Вводные!$G240), 1, 0)</f>
        <v>0</v>
      </c>
      <c r="AX21" s="3">
        <f>IF( AND(AX$3 &gt;= Вводные!$F240, AX$3 &lt;= Вводные!$G240), 1, 0)</f>
        <v>0</v>
      </c>
      <c r="AY21" s="3">
        <f>IF( AND(AY$3 &gt;= Вводные!$F240, AY$3 &lt;= Вводные!$G240), 1, 0)</f>
        <v>0</v>
      </c>
      <c r="AZ21" s="3">
        <f>IF( AND(AZ$3 &gt;= Вводные!$F240, AZ$3 &lt;= Вводные!$G240), 1, 0)</f>
        <v>0</v>
      </c>
      <c r="BA21" s="3">
        <f>IF( AND(BA$3 &gt;= Вводные!$F240, BA$3 &lt;= Вводные!$G240), 1, 0)</f>
        <v>0</v>
      </c>
      <c r="BB21" s="3">
        <f>IF( AND(BB$3 &gt;= Вводные!$F240, BB$3 &lt;= Вводные!$G240), 1, 0)</f>
        <v>0</v>
      </c>
      <c r="BC21" s="3">
        <f>IF( AND(BC$3 &gt;= Вводные!$F240, BC$3 &lt;= Вводные!$G240), 1, 0)</f>
        <v>0</v>
      </c>
      <c r="BD21" s="3">
        <f>IF( AND(BD$3 &gt;= Вводные!$F240, BD$3 &lt;= Вводные!$G240), 1, 0)</f>
        <v>0</v>
      </c>
      <c r="BE21" s="3">
        <f>IF( AND(BE$3 &gt;= Вводные!$F240, BE$3 &lt;= Вводные!$G240), 1, 0)</f>
        <v>0</v>
      </c>
      <c r="BF21" s="3">
        <f>IF( AND(BF$3 &gt;= Вводные!$F240, BF$3 &lt;= Вводные!$G240), 1, 0)</f>
        <v>0</v>
      </c>
      <c r="BG21" s="3">
        <f>IF( AND(BG$3 &gt;= Вводные!$F240, BG$3 &lt;= Вводные!$G240), 1, 0)</f>
        <v>0</v>
      </c>
      <c r="BH21" s="3">
        <f>IF( AND(BH$3 &gt;= Вводные!$F240, BH$3 &lt;= Вводные!$G240), 1, 0)</f>
        <v>0</v>
      </c>
      <c r="BI21" s="3">
        <f>IF( AND(BI$3 &gt;= Вводные!$F240, BI$3 &lt;= Вводные!$G240), 1, 0)</f>
        <v>0</v>
      </c>
      <c r="BJ21" s="3">
        <f>IF( AND(BJ$3 &gt;= Вводные!$F240, BJ$3 &lt;= Вводные!$G240), 1, 0)</f>
        <v>0</v>
      </c>
    </row>
    <row r="22" spans="4:62" x14ac:dyDescent="0.15">
      <c r="D22" s="11" t="str">
        <f>Вводные!$D$189</f>
        <v>Ежемесячный расход на цели 10</v>
      </c>
      <c r="E22" s="12" t="s">
        <v>37</v>
      </c>
      <c r="J22" s="3">
        <f>IF( AND(J$3 &gt;= Вводные!$F241, J$3 &lt;= Вводные!$G241), 1, 0)</f>
        <v>1</v>
      </c>
      <c r="K22" s="3">
        <f>IF( AND(K$3 &gt;= Вводные!$F241, K$3 &lt;= Вводные!$G241), 1, 0)</f>
        <v>1</v>
      </c>
      <c r="L22" s="3">
        <f>IF( AND(L$3 &gt;= Вводные!$F241, L$3 &lt;= Вводные!$G241), 1, 0)</f>
        <v>1</v>
      </c>
      <c r="M22" s="3">
        <f>IF( AND(M$3 &gt;= Вводные!$F241, M$3 &lt;= Вводные!$G241), 1, 0)</f>
        <v>1</v>
      </c>
      <c r="N22" s="3">
        <f>IF( AND(N$3 &gt;= Вводные!$F241, N$3 &lt;= Вводные!$G241), 1, 0)</f>
        <v>1</v>
      </c>
      <c r="O22" s="3">
        <f>IF( AND(O$3 &gt;= Вводные!$F241, O$3 &lt;= Вводные!$G241), 1, 0)</f>
        <v>1</v>
      </c>
      <c r="P22" s="3">
        <f>IF( AND(P$3 &gt;= Вводные!$F241, P$3 &lt;= Вводные!$G241), 1, 0)</f>
        <v>1</v>
      </c>
      <c r="Q22" s="3">
        <f>IF( AND(Q$3 &gt;= Вводные!$F241, Q$3 &lt;= Вводные!$G241), 1, 0)</f>
        <v>1</v>
      </c>
      <c r="R22" s="3">
        <f>IF( AND(R$3 &gt;= Вводные!$F241, R$3 &lt;= Вводные!$G241), 1, 0)</f>
        <v>1</v>
      </c>
      <c r="S22" s="3">
        <f>IF( AND(S$3 &gt;= Вводные!$F241, S$3 &lt;= Вводные!$G241), 1, 0)</f>
        <v>1</v>
      </c>
      <c r="T22" s="3">
        <f>IF( AND(T$3 &gt;= Вводные!$F241, T$3 &lt;= Вводные!$G241), 1, 0)</f>
        <v>1</v>
      </c>
      <c r="U22" s="3">
        <f>IF( AND(U$3 &gt;= Вводные!$F241, U$3 &lt;= Вводные!$G241), 1, 0)</f>
        <v>1</v>
      </c>
      <c r="V22" s="3">
        <f>IF( AND(V$3 &gt;= Вводные!$F241, V$3 &lt;= Вводные!$G241), 1, 0)</f>
        <v>1</v>
      </c>
      <c r="W22" s="3">
        <f>IF( AND(W$3 &gt;= Вводные!$F241, W$3 &lt;= Вводные!$G241), 1, 0)</f>
        <v>1</v>
      </c>
      <c r="X22" s="3">
        <f>IF( AND(X$3 &gt;= Вводные!$F241, X$3 &lt;= Вводные!$G241), 1, 0)</f>
        <v>1</v>
      </c>
      <c r="Y22" s="3">
        <f>IF( AND(Y$3 &gt;= Вводные!$F241, Y$3 &lt;= Вводные!$G241), 1, 0)</f>
        <v>1</v>
      </c>
      <c r="Z22" s="3">
        <f>IF( AND(Z$3 &gt;= Вводные!$F241, Z$3 &lt;= Вводные!$G241), 1, 0)</f>
        <v>1</v>
      </c>
      <c r="AA22" s="3">
        <f>IF( AND(AA$3 &gt;= Вводные!$F241, AA$3 &lt;= Вводные!$G241), 1, 0)</f>
        <v>1</v>
      </c>
      <c r="AB22" s="3">
        <f>IF( AND(AB$3 &gt;= Вводные!$F241, AB$3 &lt;= Вводные!$G241), 1, 0)</f>
        <v>1</v>
      </c>
      <c r="AC22" s="3">
        <f>IF( AND(AC$3 &gt;= Вводные!$F241, AC$3 &lt;= Вводные!$G241), 1, 0)</f>
        <v>1</v>
      </c>
      <c r="AD22" s="3">
        <f>IF( AND(AD$3 &gt;= Вводные!$F241, AD$3 &lt;= Вводные!$G241), 1, 0)</f>
        <v>1</v>
      </c>
      <c r="AE22" s="3">
        <f>IF( AND(AE$3 &gt;= Вводные!$F241, AE$3 &lt;= Вводные!$G241), 1, 0)</f>
        <v>1</v>
      </c>
      <c r="AF22" s="3">
        <f>IF( AND(AF$3 &gt;= Вводные!$F241, AF$3 &lt;= Вводные!$G241), 1, 0)</f>
        <v>1</v>
      </c>
      <c r="AG22" s="3">
        <f>IF( AND(AG$3 &gt;= Вводные!$F241, AG$3 &lt;= Вводные!$G241), 1, 0)</f>
        <v>1</v>
      </c>
      <c r="AH22" s="3">
        <f>IF( AND(AH$3 &gt;= Вводные!$F241, AH$3 &lt;= Вводные!$G241), 1, 0)</f>
        <v>1</v>
      </c>
      <c r="AI22" s="3">
        <f>IF( AND(AI$3 &gt;= Вводные!$F241, AI$3 &lt;= Вводные!$G241), 1, 0)</f>
        <v>1</v>
      </c>
      <c r="AJ22" s="3">
        <f>IF( AND(AJ$3 &gt;= Вводные!$F241, AJ$3 &lt;= Вводные!$G241), 1, 0)</f>
        <v>1</v>
      </c>
      <c r="AK22" s="3">
        <f>IF( AND(AK$3 &gt;= Вводные!$F241, AK$3 &lt;= Вводные!$G241), 1, 0)</f>
        <v>1</v>
      </c>
      <c r="AL22" s="3">
        <f>IF( AND(AL$3 &gt;= Вводные!$F241, AL$3 &lt;= Вводные!$G241), 1, 0)</f>
        <v>1</v>
      </c>
      <c r="AM22" s="3">
        <f>IF( AND(AM$3 &gt;= Вводные!$F241, AM$3 &lt;= Вводные!$G241), 1, 0)</f>
        <v>1</v>
      </c>
      <c r="AN22" s="3">
        <f>IF( AND(AN$3 &gt;= Вводные!$F241, AN$3 &lt;= Вводные!$G241), 1, 0)</f>
        <v>1</v>
      </c>
      <c r="AO22" s="3">
        <f>IF( AND(AO$3 &gt;= Вводные!$F241, AO$3 &lt;= Вводные!$G241), 1, 0)</f>
        <v>1</v>
      </c>
      <c r="AP22" s="3">
        <f>IF( AND(AP$3 &gt;= Вводные!$F241, AP$3 &lt;= Вводные!$G241), 1, 0)</f>
        <v>1</v>
      </c>
      <c r="AQ22" s="3">
        <f>IF( AND(AQ$3 &gt;= Вводные!$F241, AQ$3 &lt;= Вводные!$G241), 1, 0)</f>
        <v>1</v>
      </c>
      <c r="AR22" s="3">
        <f>IF( AND(AR$3 &gt;= Вводные!$F241, AR$3 &lt;= Вводные!$G241), 1, 0)</f>
        <v>1</v>
      </c>
      <c r="AS22" s="3">
        <f>IF( AND(AS$3 &gt;= Вводные!$F241, AS$3 &lt;= Вводные!$G241), 1, 0)</f>
        <v>1</v>
      </c>
      <c r="AT22" s="3">
        <f>IF( AND(AT$3 &gt;= Вводные!$F241, AT$3 &lt;= Вводные!$G241), 1, 0)</f>
        <v>1</v>
      </c>
      <c r="AU22" s="3">
        <f>IF( AND(AU$3 &gt;= Вводные!$F241, AU$3 &lt;= Вводные!$G241), 1, 0)</f>
        <v>0</v>
      </c>
      <c r="AV22" s="3">
        <f>IF( AND(AV$3 &gt;= Вводные!$F241, AV$3 &lt;= Вводные!$G241), 1, 0)</f>
        <v>0</v>
      </c>
      <c r="AW22" s="3">
        <f>IF( AND(AW$3 &gt;= Вводные!$F241, AW$3 &lt;= Вводные!$G241), 1, 0)</f>
        <v>0</v>
      </c>
      <c r="AX22" s="3">
        <f>IF( AND(AX$3 &gt;= Вводные!$F241, AX$3 &lt;= Вводные!$G241), 1, 0)</f>
        <v>0</v>
      </c>
      <c r="AY22" s="3">
        <f>IF( AND(AY$3 &gt;= Вводные!$F241, AY$3 &lt;= Вводные!$G241), 1, 0)</f>
        <v>0</v>
      </c>
      <c r="AZ22" s="3">
        <f>IF( AND(AZ$3 &gt;= Вводные!$F241, AZ$3 &lt;= Вводные!$G241), 1, 0)</f>
        <v>0</v>
      </c>
      <c r="BA22" s="3">
        <f>IF( AND(BA$3 &gt;= Вводные!$F241, BA$3 &lt;= Вводные!$G241), 1, 0)</f>
        <v>0</v>
      </c>
      <c r="BB22" s="3">
        <f>IF( AND(BB$3 &gt;= Вводные!$F241, BB$3 &lt;= Вводные!$G241), 1, 0)</f>
        <v>0</v>
      </c>
      <c r="BC22" s="3">
        <f>IF( AND(BC$3 &gt;= Вводные!$F241, BC$3 &lt;= Вводные!$G241), 1, 0)</f>
        <v>0</v>
      </c>
      <c r="BD22" s="3">
        <f>IF( AND(BD$3 &gt;= Вводные!$F241, BD$3 &lt;= Вводные!$G241), 1, 0)</f>
        <v>0</v>
      </c>
      <c r="BE22" s="3">
        <f>IF( AND(BE$3 &gt;= Вводные!$F241, BE$3 &lt;= Вводные!$G241), 1, 0)</f>
        <v>0</v>
      </c>
      <c r="BF22" s="3">
        <f>IF( AND(BF$3 &gt;= Вводные!$F241, BF$3 &lt;= Вводные!$G241), 1, 0)</f>
        <v>0</v>
      </c>
      <c r="BG22" s="3">
        <f>IF( AND(BG$3 &gt;= Вводные!$F241, BG$3 &lt;= Вводные!$G241), 1, 0)</f>
        <v>0</v>
      </c>
      <c r="BH22" s="3">
        <f>IF( AND(BH$3 &gt;= Вводные!$F241, BH$3 &lt;= Вводные!$G241), 1, 0)</f>
        <v>0</v>
      </c>
      <c r="BI22" s="3">
        <f>IF( AND(BI$3 &gt;= Вводные!$F241, BI$3 &lt;= Вводные!$G241), 1, 0)</f>
        <v>0</v>
      </c>
      <c r="BJ22" s="3">
        <f>IF( AND(BJ$3 &gt;= Вводные!$F241, BJ$3 &lt;= Вводные!$G241), 1, 0)</f>
        <v>0</v>
      </c>
    </row>
    <row r="23" spans="4:62" x14ac:dyDescent="0.15">
      <c r="E23" s="12"/>
    </row>
    <row r="24" spans="4:62" x14ac:dyDescent="0.15">
      <c r="D24" s="8" t="s">
        <v>28</v>
      </c>
      <c r="E24" s="15"/>
    </row>
    <row r="25" spans="4:62" x14ac:dyDescent="0.15">
      <c r="D25" s="11" t="str">
        <f>Вводные!$D$180</f>
        <v>Ежемесячный расход на цели 1</v>
      </c>
      <c r="E25" s="12" t="s">
        <v>37</v>
      </c>
      <c r="J25" s="3">
        <f>IF( AND(J$3 &gt;= Вводные!$F244, J$3 &lt;= Вводные!$G244), 1, 0)</f>
        <v>1</v>
      </c>
      <c r="K25" s="3">
        <f>IF( AND(K$3 &gt;= Вводные!$F244, K$3 &lt;= Вводные!$G244), 1, 0)</f>
        <v>1</v>
      </c>
      <c r="L25" s="3">
        <f>IF( AND(L$3 &gt;= Вводные!$F244, L$3 &lt;= Вводные!$G244), 1, 0)</f>
        <v>1</v>
      </c>
      <c r="M25" s="3">
        <f>IF( AND(M$3 &gt;= Вводные!$F244, M$3 &lt;= Вводные!$G244), 1, 0)</f>
        <v>1</v>
      </c>
      <c r="N25" s="3">
        <f>IF( AND(N$3 &gt;= Вводные!$F244, N$3 &lt;= Вводные!$G244), 1, 0)</f>
        <v>1</v>
      </c>
      <c r="O25" s="3">
        <f>IF( AND(O$3 &gt;= Вводные!$F244, O$3 &lt;= Вводные!$G244), 1, 0)</f>
        <v>1</v>
      </c>
      <c r="P25" s="3">
        <f>IF( AND(P$3 &gt;= Вводные!$F244, P$3 &lt;= Вводные!$G244), 1, 0)</f>
        <v>1</v>
      </c>
      <c r="Q25" s="3">
        <f>IF( AND(Q$3 &gt;= Вводные!$F244, Q$3 &lt;= Вводные!$G244), 1, 0)</f>
        <v>1</v>
      </c>
      <c r="R25" s="3">
        <f>IF( AND(R$3 &gt;= Вводные!$F244, R$3 &lt;= Вводные!$G244), 1, 0)</f>
        <v>1</v>
      </c>
      <c r="S25" s="3">
        <f>IF( AND(S$3 &gt;= Вводные!$F244, S$3 &lt;= Вводные!$G244), 1, 0)</f>
        <v>1</v>
      </c>
      <c r="T25" s="3">
        <f>IF( AND(T$3 &gt;= Вводные!$F244, T$3 &lt;= Вводные!$G244), 1, 0)</f>
        <v>1</v>
      </c>
      <c r="U25" s="3">
        <f>IF( AND(U$3 &gt;= Вводные!$F244, U$3 &lt;= Вводные!$G244), 1, 0)</f>
        <v>1</v>
      </c>
      <c r="V25" s="3">
        <f>IF( AND(V$3 &gt;= Вводные!$F244, V$3 &lt;= Вводные!$G244), 1, 0)</f>
        <v>1</v>
      </c>
      <c r="W25" s="3">
        <f>IF( AND(W$3 &gt;= Вводные!$F244, W$3 &lt;= Вводные!$G244), 1, 0)</f>
        <v>1</v>
      </c>
      <c r="X25" s="3">
        <f>IF( AND(X$3 &gt;= Вводные!$F244, X$3 &lt;= Вводные!$G244), 1, 0)</f>
        <v>1</v>
      </c>
      <c r="Y25" s="3">
        <f>IF( AND(Y$3 &gt;= Вводные!$F244, Y$3 &lt;= Вводные!$G244), 1, 0)</f>
        <v>1</v>
      </c>
      <c r="Z25" s="3">
        <f>IF( AND(Z$3 &gt;= Вводные!$F244, Z$3 &lt;= Вводные!$G244), 1, 0)</f>
        <v>1</v>
      </c>
      <c r="AA25" s="3">
        <f>IF( AND(AA$3 &gt;= Вводные!$F244, AA$3 &lt;= Вводные!$G244), 1, 0)</f>
        <v>1</v>
      </c>
      <c r="AB25" s="3">
        <f>IF( AND(AB$3 &gt;= Вводные!$F244, AB$3 &lt;= Вводные!$G244), 1, 0)</f>
        <v>1</v>
      </c>
      <c r="AC25" s="3">
        <f>IF( AND(AC$3 &gt;= Вводные!$F244, AC$3 &lt;= Вводные!$G244), 1, 0)</f>
        <v>1</v>
      </c>
      <c r="AD25" s="3">
        <f>IF( AND(AD$3 &gt;= Вводные!$F244, AD$3 &lt;= Вводные!$G244), 1, 0)</f>
        <v>1</v>
      </c>
      <c r="AE25" s="3">
        <f>IF( AND(AE$3 &gt;= Вводные!$F244, AE$3 &lt;= Вводные!$G244), 1, 0)</f>
        <v>1</v>
      </c>
      <c r="AF25" s="3">
        <f>IF( AND(AF$3 &gt;= Вводные!$F244, AF$3 &lt;= Вводные!$G244), 1, 0)</f>
        <v>1</v>
      </c>
      <c r="AG25" s="3">
        <f>IF( AND(AG$3 &gt;= Вводные!$F244, AG$3 &lt;= Вводные!$G244), 1, 0)</f>
        <v>1</v>
      </c>
      <c r="AH25" s="3">
        <f>IF( AND(AH$3 &gt;= Вводные!$F244, AH$3 &lt;= Вводные!$G244), 1, 0)</f>
        <v>1</v>
      </c>
      <c r="AI25" s="3">
        <f>IF( AND(AI$3 &gt;= Вводные!$F244, AI$3 &lt;= Вводные!$G244), 1, 0)</f>
        <v>1</v>
      </c>
      <c r="AJ25" s="3">
        <f>IF( AND(AJ$3 &gt;= Вводные!$F244, AJ$3 &lt;= Вводные!$G244), 1, 0)</f>
        <v>1</v>
      </c>
      <c r="AK25" s="3">
        <f>IF( AND(AK$3 &gt;= Вводные!$F244, AK$3 &lt;= Вводные!$G244), 1, 0)</f>
        <v>1</v>
      </c>
      <c r="AL25" s="3">
        <f>IF( AND(AL$3 &gt;= Вводные!$F244, AL$3 &lt;= Вводные!$G244), 1, 0)</f>
        <v>1</v>
      </c>
      <c r="AM25" s="3">
        <f>IF( AND(AM$3 &gt;= Вводные!$F244, AM$3 &lt;= Вводные!$G244), 1, 0)</f>
        <v>1</v>
      </c>
      <c r="AN25" s="3">
        <f>IF( AND(AN$3 &gt;= Вводные!$F244, AN$3 &lt;= Вводные!$G244), 1, 0)</f>
        <v>1</v>
      </c>
      <c r="AO25" s="3">
        <f>IF( AND(AO$3 &gt;= Вводные!$F244, AO$3 &lt;= Вводные!$G244), 1, 0)</f>
        <v>1</v>
      </c>
      <c r="AP25" s="3">
        <f>IF( AND(AP$3 &gt;= Вводные!$F244, AP$3 &lt;= Вводные!$G244), 1, 0)</f>
        <v>1</v>
      </c>
      <c r="AQ25" s="3">
        <f>IF( AND(AQ$3 &gt;= Вводные!$F244, AQ$3 &lt;= Вводные!$G244), 1, 0)</f>
        <v>1</v>
      </c>
      <c r="AR25" s="3">
        <f>IF( AND(AR$3 &gt;= Вводные!$F244, AR$3 &lt;= Вводные!$G244), 1, 0)</f>
        <v>1</v>
      </c>
      <c r="AS25" s="3">
        <f>IF( AND(AS$3 &gt;= Вводные!$F244, AS$3 &lt;= Вводные!$G244), 1, 0)</f>
        <v>1</v>
      </c>
      <c r="AT25" s="3">
        <f>IF( AND(AT$3 &gt;= Вводные!$F244, AT$3 &lt;= Вводные!$G244), 1, 0)</f>
        <v>1</v>
      </c>
      <c r="AU25" s="3">
        <f>IF( AND(AU$3 &gt;= Вводные!$F244, AU$3 &lt;= Вводные!$G244), 1, 0)</f>
        <v>0</v>
      </c>
      <c r="AV25" s="3">
        <f>IF( AND(AV$3 &gt;= Вводные!$F244, AV$3 &lt;= Вводные!$G244), 1, 0)</f>
        <v>0</v>
      </c>
      <c r="AW25" s="3">
        <f>IF( AND(AW$3 &gt;= Вводные!$F244, AW$3 &lt;= Вводные!$G244), 1, 0)</f>
        <v>0</v>
      </c>
      <c r="AX25" s="3">
        <f>IF( AND(AX$3 &gt;= Вводные!$F244, AX$3 &lt;= Вводные!$G244), 1, 0)</f>
        <v>0</v>
      </c>
      <c r="AY25" s="3">
        <f>IF( AND(AY$3 &gt;= Вводные!$F244, AY$3 &lt;= Вводные!$G244), 1, 0)</f>
        <v>0</v>
      </c>
      <c r="AZ25" s="3">
        <f>IF( AND(AZ$3 &gt;= Вводные!$F244, AZ$3 &lt;= Вводные!$G244), 1, 0)</f>
        <v>0</v>
      </c>
      <c r="BA25" s="3">
        <f>IF( AND(BA$3 &gt;= Вводные!$F244, BA$3 &lt;= Вводные!$G244), 1, 0)</f>
        <v>0</v>
      </c>
      <c r="BB25" s="3">
        <f>IF( AND(BB$3 &gt;= Вводные!$F244, BB$3 &lt;= Вводные!$G244), 1, 0)</f>
        <v>0</v>
      </c>
      <c r="BC25" s="3">
        <f>IF( AND(BC$3 &gt;= Вводные!$F244, BC$3 &lt;= Вводные!$G244), 1, 0)</f>
        <v>0</v>
      </c>
      <c r="BD25" s="3">
        <f>IF( AND(BD$3 &gt;= Вводные!$F244, BD$3 &lt;= Вводные!$G244), 1, 0)</f>
        <v>0</v>
      </c>
      <c r="BE25" s="3">
        <f>IF( AND(BE$3 &gt;= Вводные!$F244, BE$3 &lt;= Вводные!$G244), 1, 0)</f>
        <v>0</v>
      </c>
      <c r="BF25" s="3">
        <f>IF( AND(BF$3 &gt;= Вводные!$F244, BF$3 &lt;= Вводные!$G244), 1, 0)</f>
        <v>0</v>
      </c>
      <c r="BG25" s="3">
        <f>IF( AND(BG$3 &gt;= Вводные!$F244, BG$3 &lt;= Вводные!$G244), 1, 0)</f>
        <v>0</v>
      </c>
      <c r="BH25" s="3">
        <f>IF( AND(BH$3 &gt;= Вводные!$F244, BH$3 &lt;= Вводные!$G244), 1, 0)</f>
        <v>0</v>
      </c>
      <c r="BI25" s="3">
        <f>IF( AND(BI$3 &gt;= Вводные!$F244, BI$3 &lt;= Вводные!$G244), 1, 0)</f>
        <v>0</v>
      </c>
      <c r="BJ25" s="3">
        <f>IF( AND(BJ$3 &gt;= Вводные!$F244, BJ$3 &lt;= Вводные!$G244), 1, 0)</f>
        <v>0</v>
      </c>
    </row>
    <row r="26" spans="4:62" x14ac:dyDescent="0.15">
      <c r="D26" s="11" t="str">
        <f>Вводные!$D$181</f>
        <v>Ежемесячный расход на цели 2</v>
      </c>
      <c r="E26" s="12" t="s">
        <v>37</v>
      </c>
      <c r="J26" s="3">
        <f>IF( AND(J$3 &gt;= Вводные!$F245, J$3 &lt;= Вводные!$G245), 1, 0)</f>
        <v>1</v>
      </c>
      <c r="K26" s="3">
        <f>IF( AND(K$3 &gt;= Вводные!$F245, K$3 &lt;= Вводные!$G245), 1, 0)</f>
        <v>1</v>
      </c>
      <c r="L26" s="3">
        <f>IF( AND(L$3 &gt;= Вводные!$F245, L$3 &lt;= Вводные!$G245), 1, 0)</f>
        <v>1</v>
      </c>
      <c r="M26" s="3">
        <f>IF( AND(M$3 &gt;= Вводные!$F245, M$3 &lt;= Вводные!$G245), 1, 0)</f>
        <v>1</v>
      </c>
      <c r="N26" s="3">
        <f>IF( AND(N$3 &gt;= Вводные!$F245, N$3 &lt;= Вводные!$G245), 1, 0)</f>
        <v>1</v>
      </c>
      <c r="O26" s="3">
        <f>IF( AND(O$3 &gt;= Вводные!$F245, O$3 &lt;= Вводные!$G245), 1, 0)</f>
        <v>1</v>
      </c>
      <c r="P26" s="3">
        <f>IF( AND(P$3 &gt;= Вводные!$F245, P$3 &lt;= Вводные!$G245), 1, 0)</f>
        <v>1</v>
      </c>
      <c r="Q26" s="3">
        <f>IF( AND(Q$3 &gt;= Вводные!$F245, Q$3 &lt;= Вводные!$G245), 1, 0)</f>
        <v>1</v>
      </c>
      <c r="R26" s="3">
        <f>IF( AND(R$3 &gt;= Вводные!$F245, R$3 &lt;= Вводные!$G245), 1, 0)</f>
        <v>1</v>
      </c>
      <c r="S26" s="3">
        <f>IF( AND(S$3 &gt;= Вводные!$F245, S$3 &lt;= Вводные!$G245), 1, 0)</f>
        <v>1</v>
      </c>
      <c r="T26" s="3">
        <f>IF( AND(T$3 &gt;= Вводные!$F245, T$3 &lt;= Вводные!$G245), 1, 0)</f>
        <v>1</v>
      </c>
      <c r="U26" s="3">
        <f>IF( AND(U$3 &gt;= Вводные!$F245, U$3 &lt;= Вводные!$G245), 1, 0)</f>
        <v>1</v>
      </c>
      <c r="V26" s="3">
        <f>IF( AND(V$3 &gt;= Вводные!$F245, V$3 &lt;= Вводные!$G245), 1, 0)</f>
        <v>1</v>
      </c>
      <c r="W26" s="3">
        <f>IF( AND(W$3 &gt;= Вводные!$F245, W$3 &lt;= Вводные!$G245), 1, 0)</f>
        <v>1</v>
      </c>
      <c r="X26" s="3">
        <f>IF( AND(X$3 &gt;= Вводные!$F245, X$3 &lt;= Вводные!$G245), 1, 0)</f>
        <v>1</v>
      </c>
      <c r="Y26" s="3">
        <f>IF( AND(Y$3 &gt;= Вводные!$F245, Y$3 &lt;= Вводные!$G245), 1, 0)</f>
        <v>1</v>
      </c>
      <c r="Z26" s="3">
        <f>IF( AND(Z$3 &gt;= Вводные!$F245, Z$3 &lt;= Вводные!$G245), 1, 0)</f>
        <v>1</v>
      </c>
      <c r="AA26" s="3">
        <f>IF( AND(AA$3 &gt;= Вводные!$F245, AA$3 &lt;= Вводные!$G245), 1, 0)</f>
        <v>1</v>
      </c>
      <c r="AB26" s="3">
        <f>IF( AND(AB$3 &gt;= Вводные!$F245, AB$3 &lt;= Вводные!$G245), 1, 0)</f>
        <v>1</v>
      </c>
      <c r="AC26" s="3">
        <f>IF( AND(AC$3 &gt;= Вводные!$F245, AC$3 &lt;= Вводные!$G245), 1, 0)</f>
        <v>1</v>
      </c>
      <c r="AD26" s="3">
        <f>IF( AND(AD$3 &gt;= Вводные!$F245, AD$3 &lt;= Вводные!$G245), 1, 0)</f>
        <v>1</v>
      </c>
      <c r="AE26" s="3">
        <f>IF( AND(AE$3 &gt;= Вводные!$F245, AE$3 &lt;= Вводные!$G245), 1, 0)</f>
        <v>1</v>
      </c>
      <c r="AF26" s="3">
        <f>IF( AND(AF$3 &gt;= Вводные!$F245, AF$3 &lt;= Вводные!$G245), 1, 0)</f>
        <v>1</v>
      </c>
      <c r="AG26" s="3">
        <f>IF( AND(AG$3 &gt;= Вводные!$F245, AG$3 &lt;= Вводные!$G245), 1, 0)</f>
        <v>1</v>
      </c>
      <c r="AH26" s="3">
        <f>IF( AND(AH$3 &gt;= Вводные!$F245, AH$3 &lt;= Вводные!$G245), 1, 0)</f>
        <v>1</v>
      </c>
      <c r="AI26" s="3">
        <f>IF( AND(AI$3 &gt;= Вводные!$F245, AI$3 &lt;= Вводные!$G245), 1, 0)</f>
        <v>1</v>
      </c>
      <c r="AJ26" s="3">
        <f>IF( AND(AJ$3 &gt;= Вводные!$F245, AJ$3 &lt;= Вводные!$G245), 1, 0)</f>
        <v>1</v>
      </c>
      <c r="AK26" s="3">
        <f>IF( AND(AK$3 &gt;= Вводные!$F245, AK$3 &lt;= Вводные!$G245), 1, 0)</f>
        <v>1</v>
      </c>
      <c r="AL26" s="3">
        <f>IF( AND(AL$3 &gt;= Вводные!$F245, AL$3 &lt;= Вводные!$G245), 1, 0)</f>
        <v>1</v>
      </c>
      <c r="AM26" s="3">
        <f>IF( AND(AM$3 &gt;= Вводные!$F245, AM$3 &lt;= Вводные!$G245), 1, 0)</f>
        <v>1</v>
      </c>
      <c r="AN26" s="3">
        <f>IF( AND(AN$3 &gt;= Вводные!$F245, AN$3 &lt;= Вводные!$G245), 1, 0)</f>
        <v>1</v>
      </c>
      <c r="AO26" s="3">
        <f>IF( AND(AO$3 &gt;= Вводные!$F245, AO$3 &lt;= Вводные!$G245), 1, 0)</f>
        <v>1</v>
      </c>
      <c r="AP26" s="3">
        <f>IF( AND(AP$3 &gt;= Вводные!$F245, AP$3 &lt;= Вводные!$G245), 1, 0)</f>
        <v>1</v>
      </c>
      <c r="AQ26" s="3">
        <f>IF( AND(AQ$3 &gt;= Вводные!$F245, AQ$3 &lt;= Вводные!$G245), 1, 0)</f>
        <v>1</v>
      </c>
      <c r="AR26" s="3">
        <f>IF( AND(AR$3 &gt;= Вводные!$F245, AR$3 &lt;= Вводные!$G245), 1, 0)</f>
        <v>1</v>
      </c>
      <c r="AS26" s="3">
        <f>IF( AND(AS$3 &gt;= Вводные!$F245, AS$3 &lt;= Вводные!$G245), 1, 0)</f>
        <v>1</v>
      </c>
      <c r="AT26" s="3">
        <f>IF( AND(AT$3 &gt;= Вводные!$F245, AT$3 &lt;= Вводные!$G245), 1, 0)</f>
        <v>1</v>
      </c>
      <c r="AU26" s="3">
        <f>IF( AND(AU$3 &gt;= Вводные!$F245, AU$3 &lt;= Вводные!$G245), 1, 0)</f>
        <v>0</v>
      </c>
      <c r="AV26" s="3">
        <f>IF( AND(AV$3 &gt;= Вводные!$F245, AV$3 &lt;= Вводные!$G245), 1, 0)</f>
        <v>0</v>
      </c>
      <c r="AW26" s="3">
        <f>IF( AND(AW$3 &gt;= Вводные!$F245, AW$3 &lt;= Вводные!$G245), 1, 0)</f>
        <v>0</v>
      </c>
      <c r="AX26" s="3">
        <f>IF( AND(AX$3 &gt;= Вводные!$F245, AX$3 &lt;= Вводные!$G245), 1, 0)</f>
        <v>0</v>
      </c>
      <c r="AY26" s="3">
        <f>IF( AND(AY$3 &gt;= Вводные!$F245, AY$3 &lt;= Вводные!$G245), 1, 0)</f>
        <v>0</v>
      </c>
      <c r="AZ26" s="3">
        <f>IF( AND(AZ$3 &gt;= Вводные!$F245, AZ$3 &lt;= Вводные!$G245), 1, 0)</f>
        <v>0</v>
      </c>
      <c r="BA26" s="3">
        <f>IF( AND(BA$3 &gt;= Вводные!$F245, BA$3 &lt;= Вводные!$G245), 1, 0)</f>
        <v>0</v>
      </c>
      <c r="BB26" s="3">
        <f>IF( AND(BB$3 &gt;= Вводные!$F245, BB$3 &lt;= Вводные!$G245), 1, 0)</f>
        <v>0</v>
      </c>
      <c r="BC26" s="3">
        <f>IF( AND(BC$3 &gt;= Вводные!$F245, BC$3 &lt;= Вводные!$G245), 1, 0)</f>
        <v>0</v>
      </c>
      <c r="BD26" s="3">
        <f>IF( AND(BD$3 &gt;= Вводные!$F245, BD$3 &lt;= Вводные!$G245), 1, 0)</f>
        <v>0</v>
      </c>
      <c r="BE26" s="3">
        <f>IF( AND(BE$3 &gt;= Вводные!$F245, BE$3 &lt;= Вводные!$G245), 1, 0)</f>
        <v>0</v>
      </c>
      <c r="BF26" s="3">
        <f>IF( AND(BF$3 &gt;= Вводные!$F245, BF$3 &lt;= Вводные!$G245), 1, 0)</f>
        <v>0</v>
      </c>
      <c r="BG26" s="3">
        <f>IF( AND(BG$3 &gt;= Вводные!$F245, BG$3 &lt;= Вводные!$G245), 1, 0)</f>
        <v>0</v>
      </c>
      <c r="BH26" s="3">
        <f>IF( AND(BH$3 &gt;= Вводные!$F245, BH$3 &lt;= Вводные!$G245), 1, 0)</f>
        <v>0</v>
      </c>
      <c r="BI26" s="3">
        <f>IF( AND(BI$3 &gt;= Вводные!$F245, BI$3 &lt;= Вводные!$G245), 1, 0)</f>
        <v>0</v>
      </c>
      <c r="BJ26" s="3">
        <f>IF( AND(BJ$3 &gt;= Вводные!$F245, BJ$3 &lt;= Вводные!$G245), 1, 0)</f>
        <v>0</v>
      </c>
    </row>
    <row r="27" spans="4:62" x14ac:dyDescent="0.15">
      <c r="D27" s="11" t="str">
        <f>Вводные!$D$182</f>
        <v>Ежемесячный расход на цели 3</v>
      </c>
      <c r="E27" s="12" t="s">
        <v>37</v>
      </c>
      <c r="J27" s="3">
        <f>IF( AND(J$3 &gt;= Вводные!$F246, J$3 &lt;= Вводные!$G246), 1, 0)</f>
        <v>1</v>
      </c>
      <c r="K27" s="3">
        <f>IF( AND(K$3 &gt;= Вводные!$F246, K$3 &lt;= Вводные!$G246), 1, 0)</f>
        <v>1</v>
      </c>
      <c r="L27" s="3">
        <f>IF( AND(L$3 &gt;= Вводные!$F246, L$3 &lt;= Вводные!$G246), 1, 0)</f>
        <v>1</v>
      </c>
      <c r="M27" s="3">
        <f>IF( AND(M$3 &gt;= Вводные!$F246, M$3 &lt;= Вводные!$G246), 1, 0)</f>
        <v>1</v>
      </c>
      <c r="N27" s="3">
        <f>IF( AND(N$3 &gt;= Вводные!$F246, N$3 &lt;= Вводные!$G246), 1, 0)</f>
        <v>1</v>
      </c>
      <c r="O27" s="3">
        <f>IF( AND(O$3 &gt;= Вводные!$F246, O$3 &lt;= Вводные!$G246), 1, 0)</f>
        <v>1</v>
      </c>
      <c r="P27" s="3">
        <f>IF( AND(P$3 &gt;= Вводные!$F246, P$3 &lt;= Вводные!$G246), 1, 0)</f>
        <v>1</v>
      </c>
      <c r="Q27" s="3">
        <f>IF( AND(Q$3 &gt;= Вводные!$F246, Q$3 &lt;= Вводные!$G246), 1, 0)</f>
        <v>1</v>
      </c>
      <c r="R27" s="3">
        <f>IF( AND(R$3 &gt;= Вводные!$F246, R$3 &lt;= Вводные!$G246), 1, 0)</f>
        <v>1</v>
      </c>
      <c r="S27" s="3">
        <f>IF( AND(S$3 &gt;= Вводные!$F246, S$3 &lt;= Вводные!$G246), 1, 0)</f>
        <v>1</v>
      </c>
      <c r="T27" s="3">
        <f>IF( AND(T$3 &gt;= Вводные!$F246, T$3 &lt;= Вводные!$G246), 1, 0)</f>
        <v>1</v>
      </c>
      <c r="U27" s="3">
        <f>IF( AND(U$3 &gt;= Вводные!$F246, U$3 &lt;= Вводные!$G246), 1, 0)</f>
        <v>1</v>
      </c>
      <c r="V27" s="3">
        <f>IF( AND(V$3 &gt;= Вводные!$F246, V$3 &lt;= Вводные!$G246), 1, 0)</f>
        <v>1</v>
      </c>
      <c r="W27" s="3">
        <f>IF( AND(W$3 &gt;= Вводные!$F246, W$3 &lt;= Вводные!$G246), 1, 0)</f>
        <v>1</v>
      </c>
      <c r="X27" s="3">
        <f>IF( AND(X$3 &gt;= Вводные!$F246, X$3 &lt;= Вводные!$G246), 1, 0)</f>
        <v>1</v>
      </c>
      <c r="Y27" s="3">
        <f>IF( AND(Y$3 &gt;= Вводные!$F246, Y$3 &lt;= Вводные!$G246), 1, 0)</f>
        <v>1</v>
      </c>
      <c r="Z27" s="3">
        <f>IF( AND(Z$3 &gt;= Вводные!$F246, Z$3 &lt;= Вводные!$G246), 1, 0)</f>
        <v>1</v>
      </c>
      <c r="AA27" s="3">
        <f>IF( AND(AA$3 &gt;= Вводные!$F246, AA$3 &lt;= Вводные!$G246), 1, 0)</f>
        <v>1</v>
      </c>
      <c r="AB27" s="3">
        <f>IF( AND(AB$3 &gt;= Вводные!$F246, AB$3 &lt;= Вводные!$G246), 1, 0)</f>
        <v>1</v>
      </c>
      <c r="AC27" s="3">
        <f>IF( AND(AC$3 &gt;= Вводные!$F246, AC$3 &lt;= Вводные!$G246), 1, 0)</f>
        <v>1</v>
      </c>
      <c r="AD27" s="3">
        <f>IF( AND(AD$3 &gt;= Вводные!$F246, AD$3 &lt;= Вводные!$G246), 1, 0)</f>
        <v>1</v>
      </c>
      <c r="AE27" s="3">
        <f>IF( AND(AE$3 &gt;= Вводные!$F246, AE$3 &lt;= Вводные!$G246), 1, 0)</f>
        <v>1</v>
      </c>
      <c r="AF27" s="3">
        <f>IF( AND(AF$3 &gt;= Вводные!$F246, AF$3 &lt;= Вводные!$G246), 1, 0)</f>
        <v>1</v>
      </c>
      <c r="AG27" s="3">
        <f>IF( AND(AG$3 &gt;= Вводные!$F246, AG$3 &lt;= Вводные!$G246), 1, 0)</f>
        <v>1</v>
      </c>
      <c r="AH27" s="3">
        <f>IF( AND(AH$3 &gt;= Вводные!$F246, AH$3 &lt;= Вводные!$G246), 1, 0)</f>
        <v>1</v>
      </c>
      <c r="AI27" s="3">
        <f>IF( AND(AI$3 &gt;= Вводные!$F246, AI$3 &lt;= Вводные!$G246), 1, 0)</f>
        <v>1</v>
      </c>
      <c r="AJ27" s="3">
        <f>IF( AND(AJ$3 &gt;= Вводные!$F246, AJ$3 &lt;= Вводные!$G246), 1, 0)</f>
        <v>1</v>
      </c>
      <c r="AK27" s="3">
        <f>IF( AND(AK$3 &gt;= Вводные!$F246, AK$3 &lt;= Вводные!$G246), 1, 0)</f>
        <v>1</v>
      </c>
      <c r="AL27" s="3">
        <f>IF( AND(AL$3 &gt;= Вводные!$F246, AL$3 &lt;= Вводные!$G246), 1, 0)</f>
        <v>1</v>
      </c>
      <c r="AM27" s="3">
        <f>IF( AND(AM$3 &gt;= Вводные!$F246, AM$3 &lt;= Вводные!$G246), 1, 0)</f>
        <v>1</v>
      </c>
      <c r="AN27" s="3">
        <f>IF( AND(AN$3 &gt;= Вводные!$F246, AN$3 &lt;= Вводные!$G246), 1, 0)</f>
        <v>1</v>
      </c>
      <c r="AO27" s="3">
        <f>IF( AND(AO$3 &gt;= Вводные!$F246, AO$3 &lt;= Вводные!$G246), 1, 0)</f>
        <v>1</v>
      </c>
      <c r="AP27" s="3">
        <f>IF( AND(AP$3 &gt;= Вводные!$F246, AP$3 &lt;= Вводные!$G246), 1, 0)</f>
        <v>1</v>
      </c>
      <c r="AQ27" s="3">
        <f>IF( AND(AQ$3 &gt;= Вводные!$F246, AQ$3 &lt;= Вводные!$G246), 1, 0)</f>
        <v>1</v>
      </c>
      <c r="AR27" s="3">
        <f>IF( AND(AR$3 &gt;= Вводные!$F246, AR$3 &lt;= Вводные!$G246), 1, 0)</f>
        <v>1</v>
      </c>
      <c r="AS27" s="3">
        <f>IF( AND(AS$3 &gt;= Вводные!$F246, AS$3 &lt;= Вводные!$G246), 1, 0)</f>
        <v>1</v>
      </c>
      <c r="AT27" s="3">
        <f>IF( AND(AT$3 &gt;= Вводные!$F246, AT$3 &lt;= Вводные!$G246), 1, 0)</f>
        <v>1</v>
      </c>
      <c r="AU27" s="3">
        <f>IF( AND(AU$3 &gt;= Вводные!$F246, AU$3 &lt;= Вводные!$G246), 1, 0)</f>
        <v>0</v>
      </c>
      <c r="AV27" s="3">
        <f>IF( AND(AV$3 &gt;= Вводные!$F246, AV$3 &lt;= Вводные!$G246), 1, 0)</f>
        <v>0</v>
      </c>
      <c r="AW27" s="3">
        <f>IF( AND(AW$3 &gt;= Вводные!$F246, AW$3 &lt;= Вводные!$G246), 1, 0)</f>
        <v>0</v>
      </c>
      <c r="AX27" s="3">
        <f>IF( AND(AX$3 &gt;= Вводные!$F246, AX$3 &lt;= Вводные!$G246), 1, 0)</f>
        <v>0</v>
      </c>
      <c r="AY27" s="3">
        <f>IF( AND(AY$3 &gt;= Вводные!$F246, AY$3 &lt;= Вводные!$G246), 1, 0)</f>
        <v>0</v>
      </c>
      <c r="AZ27" s="3">
        <f>IF( AND(AZ$3 &gt;= Вводные!$F246, AZ$3 &lt;= Вводные!$G246), 1, 0)</f>
        <v>0</v>
      </c>
      <c r="BA27" s="3">
        <f>IF( AND(BA$3 &gt;= Вводные!$F246, BA$3 &lt;= Вводные!$G246), 1, 0)</f>
        <v>0</v>
      </c>
      <c r="BB27" s="3">
        <f>IF( AND(BB$3 &gt;= Вводные!$F246, BB$3 &lt;= Вводные!$G246), 1, 0)</f>
        <v>0</v>
      </c>
      <c r="BC27" s="3">
        <f>IF( AND(BC$3 &gt;= Вводные!$F246, BC$3 &lt;= Вводные!$G246), 1, 0)</f>
        <v>0</v>
      </c>
      <c r="BD27" s="3">
        <f>IF( AND(BD$3 &gt;= Вводные!$F246, BD$3 &lt;= Вводные!$G246), 1, 0)</f>
        <v>0</v>
      </c>
      <c r="BE27" s="3">
        <f>IF( AND(BE$3 &gt;= Вводные!$F246, BE$3 &lt;= Вводные!$G246), 1, 0)</f>
        <v>0</v>
      </c>
      <c r="BF27" s="3">
        <f>IF( AND(BF$3 &gt;= Вводные!$F246, BF$3 &lt;= Вводные!$G246), 1, 0)</f>
        <v>0</v>
      </c>
      <c r="BG27" s="3">
        <f>IF( AND(BG$3 &gt;= Вводные!$F246, BG$3 &lt;= Вводные!$G246), 1, 0)</f>
        <v>0</v>
      </c>
      <c r="BH27" s="3">
        <f>IF( AND(BH$3 &gt;= Вводные!$F246, BH$3 &lt;= Вводные!$G246), 1, 0)</f>
        <v>0</v>
      </c>
      <c r="BI27" s="3">
        <f>IF( AND(BI$3 &gt;= Вводные!$F246, BI$3 &lt;= Вводные!$G246), 1, 0)</f>
        <v>0</v>
      </c>
      <c r="BJ27" s="3">
        <f>IF( AND(BJ$3 &gt;= Вводные!$F246, BJ$3 &lt;= Вводные!$G246), 1, 0)</f>
        <v>0</v>
      </c>
    </row>
    <row r="28" spans="4:62" x14ac:dyDescent="0.15">
      <c r="D28" s="11" t="str">
        <f>Вводные!$D$183</f>
        <v>Ежемесячный расход на цели 4</v>
      </c>
      <c r="E28" s="12" t="s">
        <v>37</v>
      </c>
      <c r="J28" s="3">
        <f>IF( AND(J$3 &gt;= Вводные!$F247, J$3 &lt;= Вводные!$G247), 1, 0)</f>
        <v>1</v>
      </c>
      <c r="K28" s="3">
        <f>IF( AND(K$3 &gt;= Вводные!$F247, K$3 &lt;= Вводные!$G247), 1, 0)</f>
        <v>1</v>
      </c>
      <c r="L28" s="3">
        <f>IF( AND(L$3 &gt;= Вводные!$F247, L$3 &lt;= Вводные!$G247), 1, 0)</f>
        <v>1</v>
      </c>
      <c r="M28" s="3">
        <f>IF( AND(M$3 &gt;= Вводные!$F247, M$3 &lt;= Вводные!$G247), 1, 0)</f>
        <v>1</v>
      </c>
      <c r="N28" s="3">
        <f>IF( AND(N$3 &gt;= Вводные!$F247, N$3 &lt;= Вводные!$G247), 1, 0)</f>
        <v>1</v>
      </c>
      <c r="O28" s="3">
        <f>IF( AND(O$3 &gt;= Вводные!$F247, O$3 &lt;= Вводные!$G247), 1, 0)</f>
        <v>1</v>
      </c>
      <c r="P28" s="3">
        <f>IF( AND(P$3 &gt;= Вводные!$F247, P$3 &lt;= Вводные!$G247), 1, 0)</f>
        <v>1</v>
      </c>
      <c r="Q28" s="3">
        <f>IF( AND(Q$3 &gt;= Вводные!$F247, Q$3 &lt;= Вводные!$G247), 1, 0)</f>
        <v>1</v>
      </c>
      <c r="R28" s="3">
        <f>IF( AND(R$3 &gt;= Вводные!$F247, R$3 &lt;= Вводные!$G247), 1, 0)</f>
        <v>1</v>
      </c>
      <c r="S28" s="3">
        <f>IF( AND(S$3 &gt;= Вводные!$F247, S$3 &lt;= Вводные!$G247), 1, 0)</f>
        <v>1</v>
      </c>
      <c r="T28" s="3">
        <f>IF( AND(T$3 &gt;= Вводные!$F247, T$3 &lt;= Вводные!$G247), 1, 0)</f>
        <v>1</v>
      </c>
      <c r="U28" s="3">
        <f>IF( AND(U$3 &gt;= Вводные!$F247, U$3 &lt;= Вводные!$G247), 1, 0)</f>
        <v>1</v>
      </c>
      <c r="V28" s="3">
        <f>IF( AND(V$3 &gt;= Вводные!$F247, V$3 &lt;= Вводные!$G247), 1, 0)</f>
        <v>1</v>
      </c>
      <c r="W28" s="3">
        <f>IF( AND(W$3 &gt;= Вводные!$F247, W$3 &lt;= Вводные!$G247), 1, 0)</f>
        <v>1</v>
      </c>
      <c r="X28" s="3">
        <f>IF( AND(X$3 &gt;= Вводные!$F247, X$3 &lt;= Вводные!$G247), 1, 0)</f>
        <v>1</v>
      </c>
      <c r="Y28" s="3">
        <f>IF( AND(Y$3 &gt;= Вводные!$F247, Y$3 &lt;= Вводные!$G247), 1, 0)</f>
        <v>1</v>
      </c>
      <c r="Z28" s="3">
        <f>IF( AND(Z$3 &gt;= Вводные!$F247, Z$3 &lt;= Вводные!$G247), 1, 0)</f>
        <v>1</v>
      </c>
      <c r="AA28" s="3">
        <f>IF( AND(AA$3 &gt;= Вводные!$F247, AA$3 &lt;= Вводные!$G247), 1, 0)</f>
        <v>1</v>
      </c>
      <c r="AB28" s="3">
        <f>IF( AND(AB$3 &gt;= Вводные!$F247, AB$3 &lt;= Вводные!$G247), 1, 0)</f>
        <v>1</v>
      </c>
      <c r="AC28" s="3">
        <f>IF( AND(AC$3 &gt;= Вводные!$F247, AC$3 &lt;= Вводные!$G247), 1, 0)</f>
        <v>1</v>
      </c>
      <c r="AD28" s="3">
        <f>IF( AND(AD$3 &gt;= Вводные!$F247, AD$3 &lt;= Вводные!$G247), 1, 0)</f>
        <v>1</v>
      </c>
      <c r="AE28" s="3">
        <f>IF( AND(AE$3 &gt;= Вводные!$F247, AE$3 &lt;= Вводные!$G247), 1, 0)</f>
        <v>1</v>
      </c>
      <c r="AF28" s="3">
        <f>IF( AND(AF$3 &gt;= Вводные!$F247, AF$3 &lt;= Вводные!$G247), 1, 0)</f>
        <v>1</v>
      </c>
      <c r="AG28" s="3">
        <f>IF( AND(AG$3 &gt;= Вводные!$F247, AG$3 &lt;= Вводные!$G247), 1, 0)</f>
        <v>1</v>
      </c>
      <c r="AH28" s="3">
        <f>IF( AND(AH$3 &gt;= Вводные!$F247, AH$3 &lt;= Вводные!$G247), 1, 0)</f>
        <v>1</v>
      </c>
      <c r="AI28" s="3">
        <f>IF( AND(AI$3 &gt;= Вводные!$F247, AI$3 &lt;= Вводные!$G247), 1, 0)</f>
        <v>1</v>
      </c>
      <c r="AJ28" s="3">
        <f>IF( AND(AJ$3 &gt;= Вводные!$F247, AJ$3 &lt;= Вводные!$G247), 1, 0)</f>
        <v>1</v>
      </c>
      <c r="AK28" s="3">
        <f>IF( AND(AK$3 &gt;= Вводные!$F247, AK$3 &lt;= Вводные!$G247), 1, 0)</f>
        <v>1</v>
      </c>
      <c r="AL28" s="3">
        <f>IF( AND(AL$3 &gt;= Вводные!$F247, AL$3 &lt;= Вводные!$G247), 1, 0)</f>
        <v>1</v>
      </c>
      <c r="AM28" s="3">
        <f>IF( AND(AM$3 &gt;= Вводные!$F247, AM$3 &lt;= Вводные!$G247), 1, 0)</f>
        <v>1</v>
      </c>
      <c r="AN28" s="3">
        <f>IF( AND(AN$3 &gt;= Вводные!$F247, AN$3 &lt;= Вводные!$G247), 1, 0)</f>
        <v>1</v>
      </c>
      <c r="AO28" s="3">
        <f>IF( AND(AO$3 &gt;= Вводные!$F247, AO$3 &lt;= Вводные!$G247), 1, 0)</f>
        <v>1</v>
      </c>
      <c r="AP28" s="3">
        <f>IF( AND(AP$3 &gt;= Вводные!$F247, AP$3 &lt;= Вводные!$G247), 1, 0)</f>
        <v>1</v>
      </c>
      <c r="AQ28" s="3">
        <f>IF( AND(AQ$3 &gt;= Вводные!$F247, AQ$3 &lt;= Вводные!$G247), 1, 0)</f>
        <v>1</v>
      </c>
      <c r="AR28" s="3">
        <f>IF( AND(AR$3 &gt;= Вводные!$F247, AR$3 &lt;= Вводные!$G247), 1, 0)</f>
        <v>1</v>
      </c>
      <c r="AS28" s="3">
        <f>IF( AND(AS$3 &gt;= Вводные!$F247, AS$3 &lt;= Вводные!$G247), 1, 0)</f>
        <v>1</v>
      </c>
      <c r="AT28" s="3">
        <f>IF( AND(AT$3 &gt;= Вводные!$F247, AT$3 &lt;= Вводные!$G247), 1, 0)</f>
        <v>1</v>
      </c>
      <c r="AU28" s="3">
        <f>IF( AND(AU$3 &gt;= Вводные!$F247, AU$3 &lt;= Вводные!$G247), 1, 0)</f>
        <v>0</v>
      </c>
      <c r="AV28" s="3">
        <f>IF( AND(AV$3 &gt;= Вводные!$F247, AV$3 &lt;= Вводные!$G247), 1, 0)</f>
        <v>0</v>
      </c>
      <c r="AW28" s="3">
        <f>IF( AND(AW$3 &gt;= Вводные!$F247, AW$3 &lt;= Вводные!$G247), 1, 0)</f>
        <v>0</v>
      </c>
      <c r="AX28" s="3">
        <f>IF( AND(AX$3 &gt;= Вводные!$F247, AX$3 &lt;= Вводные!$G247), 1, 0)</f>
        <v>0</v>
      </c>
      <c r="AY28" s="3">
        <f>IF( AND(AY$3 &gt;= Вводные!$F247, AY$3 &lt;= Вводные!$G247), 1, 0)</f>
        <v>0</v>
      </c>
      <c r="AZ28" s="3">
        <f>IF( AND(AZ$3 &gt;= Вводные!$F247, AZ$3 &lt;= Вводные!$G247), 1, 0)</f>
        <v>0</v>
      </c>
      <c r="BA28" s="3">
        <f>IF( AND(BA$3 &gt;= Вводные!$F247, BA$3 &lt;= Вводные!$G247), 1, 0)</f>
        <v>0</v>
      </c>
      <c r="BB28" s="3">
        <f>IF( AND(BB$3 &gt;= Вводные!$F247, BB$3 &lt;= Вводные!$G247), 1, 0)</f>
        <v>0</v>
      </c>
      <c r="BC28" s="3">
        <f>IF( AND(BC$3 &gt;= Вводные!$F247, BC$3 &lt;= Вводные!$G247), 1, 0)</f>
        <v>0</v>
      </c>
      <c r="BD28" s="3">
        <f>IF( AND(BD$3 &gt;= Вводные!$F247, BD$3 &lt;= Вводные!$G247), 1, 0)</f>
        <v>0</v>
      </c>
      <c r="BE28" s="3">
        <f>IF( AND(BE$3 &gt;= Вводные!$F247, BE$3 &lt;= Вводные!$G247), 1, 0)</f>
        <v>0</v>
      </c>
      <c r="BF28" s="3">
        <f>IF( AND(BF$3 &gt;= Вводные!$F247, BF$3 &lt;= Вводные!$G247), 1, 0)</f>
        <v>0</v>
      </c>
      <c r="BG28" s="3">
        <f>IF( AND(BG$3 &gt;= Вводные!$F247, BG$3 &lt;= Вводные!$G247), 1, 0)</f>
        <v>0</v>
      </c>
      <c r="BH28" s="3">
        <f>IF( AND(BH$3 &gt;= Вводные!$F247, BH$3 &lt;= Вводные!$G247), 1, 0)</f>
        <v>0</v>
      </c>
      <c r="BI28" s="3">
        <f>IF( AND(BI$3 &gt;= Вводные!$F247, BI$3 &lt;= Вводные!$G247), 1, 0)</f>
        <v>0</v>
      </c>
      <c r="BJ28" s="3">
        <f>IF( AND(BJ$3 &gt;= Вводные!$F247, BJ$3 &lt;= Вводные!$G247), 1, 0)</f>
        <v>0</v>
      </c>
    </row>
    <row r="29" spans="4:62" x14ac:dyDescent="0.15">
      <c r="D29" s="11" t="str">
        <f>Вводные!$D$184</f>
        <v>Ежемесячный расход на цели 5</v>
      </c>
      <c r="E29" s="12" t="s">
        <v>37</v>
      </c>
      <c r="J29" s="3">
        <f>IF( AND(J$3 &gt;= Вводные!$F248, J$3 &lt;= Вводные!$G248), 1, 0)</f>
        <v>1</v>
      </c>
      <c r="K29" s="3">
        <f>IF( AND(K$3 &gt;= Вводные!$F248, K$3 &lt;= Вводные!$G248), 1, 0)</f>
        <v>1</v>
      </c>
      <c r="L29" s="3">
        <f>IF( AND(L$3 &gt;= Вводные!$F248, L$3 &lt;= Вводные!$G248), 1, 0)</f>
        <v>1</v>
      </c>
      <c r="M29" s="3">
        <f>IF( AND(M$3 &gt;= Вводные!$F248, M$3 &lt;= Вводные!$G248), 1, 0)</f>
        <v>1</v>
      </c>
      <c r="N29" s="3">
        <f>IF( AND(N$3 &gt;= Вводные!$F248, N$3 &lt;= Вводные!$G248), 1, 0)</f>
        <v>1</v>
      </c>
      <c r="O29" s="3">
        <f>IF( AND(O$3 &gt;= Вводные!$F248, O$3 &lt;= Вводные!$G248), 1, 0)</f>
        <v>1</v>
      </c>
      <c r="P29" s="3">
        <f>IF( AND(P$3 &gt;= Вводные!$F248, P$3 &lt;= Вводные!$G248), 1, 0)</f>
        <v>1</v>
      </c>
      <c r="Q29" s="3">
        <f>IF( AND(Q$3 &gt;= Вводные!$F248, Q$3 &lt;= Вводные!$G248), 1, 0)</f>
        <v>1</v>
      </c>
      <c r="R29" s="3">
        <f>IF( AND(R$3 &gt;= Вводные!$F248, R$3 &lt;= Вводные!$G248), 1, 0)</f>
        <v>1</v>
      </c>
      <c r="S29" s="3">
        <f>IF( AND(S$3 &gt;= Вводные!$F248, S$3 &lt;= Вводные!$G248), 1, 0)</f>
        <v>1</v>
      </c>
      <c r="T29" s="3">
        <f>IF( AND(T$3 &gt;= Вводные!$F248, T$3 &lt;= Вводные!$G248), 1, 0)</f>
        <v>1</v>
      </c>
      <c r="U29" s="3">
        <f>IF( AND(U$3 &gt;= Вводные!$F248, U$3 &lt;= Вводные!$G248), 1, 0)</f>
        <v>1</v>
      </c>
      <c r="V29" s="3">
        <f>IF( AND(V$3 &gt;= Вводные!$F248, V$3 &lt;= Вводные!$G248), 1, 0)</f>
        <v>1</v>
      </c>
      <c r="W29" s="3">
        <f>IF( AND(W$3 &gt;= Вводные!$F248, W$3 &lt;= Вводные!$G248), 1, 0)</f>
        <v>1</v>
      </c>
      <c r="X29" s="3">
        <f>IF( AND(X$3 &gt;= Вводные!$F248, X$3 &lt;= Вводные!$G248), 1, 0)</f>
        <v>1</v>
      </c>
      <c r="Y29" s="3">
        <f>IF( AND(Y$3 &gt;= Вводные!$F248, Y$3 &lt;= Вводные!$G248), 1, 0)</f>
        <v>1</v>
      </c>
      <c r="Z29" s="3">
        <f>IF( AND(Z$3 &gt;= Вводные!$F248, Z$3 &lt;= Вводные!$G248), 1, 0)</f>
        <v>1</v>
      </c>
      <c r="AA29" s="3">
        <f>IF( AND(AA$3 &gt;= Вводные!$F248, AA$3 &lt;= Вводные!$G248), 1, 0)</f>
        <v>1</v>
      </c>
      <c r="AB29" s="3">
        <f>IF( AND(AB$3 &gt;= Вводные!$F248, AB$3 &lt;= Вводные!$G248), 1, 0)</f>
        <v>1</v>
      </c>
      <c r="AC29" s="3">
        <f>IF( AND(AC$3 &gt;= Вводные!$F248, AC$3 &lt;= Вводные!$G248), 1, 0)</f>
        <v>1</v>
      </c>
      <c r="AD29" s="3">
        <f>IF( AND(AD$3 &gt;= Вводные!$F248, AD$3 &lt;= Вводные!$G248), 1, 0)</f>
        <v>1</v>
      </c>
      <c r="AE29" s="3">
        <f>IF( AND(AE$3 &gt;= Вводные!$F248, AE$3 &lt;= Вводные!$G248), 1, 0)</f>
        <v>1</v>
      </c>
      <c r="AF29" s="3">
        <f>IF( AND(AF$3 &gt;= Вводные!$F248, AF$3 &lt;= Вводные!$G248), 1, 0)</f>
        <v>1</v>
      </c>
      <c r="AG29" s="3">
        <f>IF( AND(AG$3 &gt;= Вводные!$F248, AG$3 &lt;= Вводные!$G248), 1, 0)</f>
        <v>1</v>
      </c>
      <c r="AH29" s="3">
        <f>IF( AND(AH$3 &gt;= Вводные!$F248, AH$3 &lt;= Вводные!$G248), 1, 0)</f>
        <v>1</v>
      </c>
      <c r="AI29" s="3">
        <f>IF( AND(AI$3 &gt;= Вводные!$F248, AI$3 &lt;= Вводные!$G248), 1, 0)</f>
        <v>1</v>
      </c>
      <c r="AJ29" s="3">
        <f>IF( AND(AJ$3 &gt;= Вводные!$F248, AJ$3 &lt;= Вводные!$G248), 1, 0)</f>
        <v>1</v>
      </c>
      <c r="AK29" s="3">
        <f>IF( AND(AK$3 &gt;= Вводные!$F248, AK$3 &lt;= Вводные!$G248), 1, 0)</f>
        <v>1</v>
      </c>
      <c r="AL29" s="3">
        <f>IF( AND(AL$3 &gt;= Вводные!$F248, AL$3 &lt;= Вводные!$G248), 1, 0)</f>
        <v>1</v>
      </c>
      <c r="AM29" s="3">
        <f>IF( AND(AM$3 &gt;= Вводные!$F248, AM$3 &lt;= Вводные!$G248), 1, 0)</f>
        <v>1</v>
      </c>
      <c r="AN29" s="3">
        <f>IF( AND(AN$3 &gt;= Вводные!$F248, AN$3 &lt;= Вводные!$G248), 1, 0)</f>
        <v>1</v>
      </c>
      <c r="AO29" s="3">
        <f>IF( AND(AO$3 &gt;= Вводные!$F248, AO$3 &lt;= Вводные!$G248), 1, 0)</f>
        <v>1</v>
      </c>
      <c r="AP29" s="3">
        <f>IF( AND(AP$3 &gt;= Вводные!$F248, AP$3 &lt;= Вводные!$G248), 1, 0)</f>
        <v>1</v>
      </c>
      <c r="AQ29" s="3">
        <f>IF( AND(AQ$3 &gt;= Вводные!$F248, AQ$3 &lt;= Вводные!$G248), 1, 0)</f>
        <v>1</v>
      </c>
      <c r="AR29" s="3">
        <f>IF( AND(AR$3 &gt;= Вводные!$F248, AR$3 &lt;= Вводные!$G248), 1, 0)</f>
        <v>1</v>
      </c>
      <c r="AS29" s="3">
        <f>IF( AND(AS$3 &gt;= Вводные!$F248, AS$3 &lt;= Вводные!$G248), 1, 0)</f>
        <v>1</v>
      </c>
      <c r="AT29" s="3">
        <f>IF( AND(AT$3 &gt;= Вводные!$F248, AT$3 &lt;= Вводные!$G248), 1, 0)</f>
        <v>1</v>
      </c>
      <c r="AU29" s="3">
        <f>IF( AND(AU$3 &gt;= Вводные!$F248, AU$3 &lt;= Вводные!$G248), 1, 0)</f>
        <v>0</v>
      </c>
      <c r="AV29" s="3">
        <f>IF( AND(AV$3 &gt;= Вводные!$F248, AV$3 &lt;= Вводные!$G248), 1, 0)</f>
        <v>0</v>
      </c>
      <c r="AW29" s="3">
        <f>IF( AND(AW$3 &gt;= Вводные!$F248, AW$3 &lt;= Вводные!$G248), 1, 0)</f>
        <v>0</v>
      </c>
      <c r="AX29" s="3">
        <f>IF( AND(AX$3 &gt;= Вводные!$F248, AX$3 &lt;= Вводные!$G248), 1, 0)</f>
        <v>0</v>
      </c>
      <c r="AY29" s="3">
        <f>IF( AND(AY$3 &gt;= Вводные!$F248, AY$3 &lt;= Вводные!$G248), 1, 0)</f>
        <v>0</v>
      </c>
      <c r="AZ29" s="3">
        <f>IF( AND(AZ$3 &gt;= Вводные!$F248, AZ$3 &lt;= Вводные!$G248), 1, 0)</f>
        <v>0</v>
      </c>
      <c r="BA29" s="3">
        <f>IF( AND(BA$3 &gt;= Вводные!$F248, BA$3 &lt;= Вводные!$G248), 1, 0)</f>
        <v>0</v>
      </c>
      <c r="BB29" s="3">
        <f>IF( AND(BB$3 &gt;= Вводные!$F248, BB$3 &lt;= Вводные!$G248), 1, 0)</f>
        <v>0</v>
      </c>
      <c r="BC29" s="3">
        <f>IF( AND(BC$3 &gt;= Вводные!$F248, BC$3 &lt;= Вводные!$G248), 1, 0)</f>
        <v>0</v>
      </c>
      <c r="BD29" s="3">
        <f>IF( AND(BD$3 &gt;= Вводные!$F248, BD$3 &lt;= Вводные!$G248), 1, 0)</f>
        <v>0</v>
      </c>
      <c r="BE29" s="3">
        <f>IF( AND(BE$3 &gt;= Вводные!$F248, BE$3 &lt;= Вводные!$G248), 1, 0)</f>
        <v>0</v>
      </c>
      <c r="BF29" s="3">
        <f>IF( AND(BF$3 &gt;= Вводные!$F248, BF$3 &lt;= Вводные!$G248), 1, 0)</f>
        <v>0</v>
      </c>
      <c r="BG29" s="3">
        <f>IF( AND(BG$3 &gt;= Вводные!$F248, BG$3 &lt;= Вводные!$G248), 1, 0)</f>
        <v>0</v>
      </c>
      <c r="BH29" s="3">
        <f>IF( AND(BH$3 &gt;= Вводные!$F248, BH$3 &lt;= Вводные!$G248), 1, 0)</f>
        <v>0</v>
      </c>
      <c r="BI29" s="3">
        <f>IF( AND(BI$3 &gt;= Вводные!$F248, BI$3 &lt;= Вводные!$G248), 1, 0)</f>
        <v>0</v>
      </c>
      <c r="BJ29" s="3">
        <f>IF( AND(BJ$3 &gt;= Вводные!$F248, BJ$3 &lt;= Вводные!$G248), 1, 0)</f>
        <v>0</v>
      </c>
    </row>
    <row r="30" spans="4:62" x14ac:dyDescent="0.15">
      <c r="D30" s="11" t="str">
        <f>Вводные!$D$185</f>
        <v>Ежемесячный расход на цели 6</v>
      </c>
      <c r="E30" s="12" t="s">
        <v>37</v>
      </c>
      <c r="J30" s="3">
        <f>IF( AND(J$3 &gt;= Вводные!$F249, J$3 &lt;= Вводные!$G249), 1, 0)</f>
        <v>1</v>
      </c>
      <c r="K30" s="3">
        <f>IF( AND(K$3 &gt;= Вводные!$F249, K$3 &lt;= Вводные!$G249), 1, 0)</f>
        <v>1</v>
      </c>
      <c r="L30" s="3">
        <f>IF( AND(L$3 &gt;= Вводные!$F249, L$3 &lt;= Вводные!$G249), 1, 0)</f>
        <v>1</v>
      </c>
      <c r="M30" s="3">
        <f>IF( AND(M$3 &gt;= Вводные!$F249, M$3 &lt;= Вводные!$G249), 1, 0)</f>
        <v>1</v>
      </c>
      <c r="N30" s="3">
        <f>IF( AND(N$3 &gt;= Вводные!$F249, N$3 &lt;= Вводные!$G249), 1, 0)</f>
        <v>1</v>
      </c>
      <c r="O30" s="3">
        <f>IF( AND(O$3 &gt;= Вводные!$F249, O$3 &lt;= Вводные!$G249), 1, 0)</f>
        <v>1</v>
      </c>
      <c r="P30" s="3">
        <f>IF( AND(P$3 &gt;= Вводные!$F249, P$3 &lt;= Вводные!$G249), 1, 0)</f>
        <v>1</v>
      </c>
      <c r="Q30" s="3">
        <f>IF( AND(Q$3 &gt;= Вводные!$F249, Q$3 &lt;= Вводные!$G249), 1, 0)</f>
        <v>1</v>
      </c>
      <c r="R30" s="3">
        <f>IF( AND(R$3 &gt;= Вводные!$F249, R$3 &lt;= Вводные!$G249), 1, 0)</f>
        <v>1</v>
      </c>
      <c r="S30" s="3">
        <f>IF( AND(S$3 &gt;= Вводные!$F249, S$3 &lt;= Вводные!$G249), 1, 0)</f>
        <v>1</v>
      </c>
      <c r="T30" s="3">
        <f>IF( AND(T$3 &gt;= Вводные!$F249, T$3 &lt;= Вводные!$G249), 1, 0)</f>
        <v>1</v>
      </c>
      <c r="U30" s="3">
        <f>IF( AND(U$3 &gt;= Вводные!$F249, U$3 &lt;= Вводные!$G249), 1, 0)</f>
        <v>1</v>
      </c>
      <c r="V30" s="3">
        <f>IF( AND(V$3 &gt;= Вводные!$F249, V$3 &lt;= Вводные!$G249), 1, 0)</f>
        <v>1</v>
      </c>
      <c r="W30" s="3">
        <f>IF( AND(W$3 &gt;= Вводные!$F249, W$3 &lt;= Вводные!$G249), 1, 0)</f>
        <v>1</v>
      </c>
      <c r="X30" s="3">
        <f>IF( AND(X$3 &gt;= Вводные!$F249, X$3 &lt;= Вводные!$G249), 1, 0)</f>
        <v>1</v>
      </c>
      <c r="Y30" s="3">
        <f>IF( AND(Y$3 &gt;= Вводные!$F249, Y$3 &lt;= Вводные!$G249), 1, 0)</f>
        <v>1</v>
      </c>
      <c r="Z30" s="3">
        <f>IF( AND(Z$3 &gt;= Вводные!$F249, Z$3 &lt;= Вводные!$G249), 1, 0)</f>
        <v>1</v>
      </c>
      <c r="AA30" s="3">
        <f>IF( AND(AA$3 &gt;= Вводные!$F249, AA$3 &lt;= Вводные!$G249), 1, 0)</f>
        <v>1</v>
      </c>
      <c r="AB30" s="3">
        <f>IF( AND(AB$3 &gt;= Вводные!$F249, AB$3 &lt;= Вводные!$G249), 1, 0)</f>
        <v>1</v>
      </c>
      <c r="AC30" s="3">
        <f>IF( AND(AC$3 &gt;= Вводные!$F249, AC$3 &lt;= Вводные!$G249), 1, 0)</f>
        <v>1</v>
      </c>
      <c r="AD30" s="3">
        <f>IF( AND(AD$3 &gt;= Вводные!$F249, AD$3 &lt;= Вводные!$G249), 1, 0)</f>
        <v>1</v>
      </c>
      <c r="AE30" s="3">
        <f>IF( AND(AE$3 &gt;= Вводные!$F249, AE$3 &lt;= Вводные!$G249), 1, 0)</f>
        <v>1</v>
      </c>
      <c r="AF30" s="3">
        <f>IF( AND(AF$3 &gt;= Вводные!$F249, AF$3 &lt;= Вводные!$G249), 1, 0)</f>
        <v>1</v>
      </c>
      <c r="AG30" s="3">
        <f>IF( AND(AG$3 &gt;= Вводные!$F249, AG$3 &lt;= Вводные!$G249), 1, 0)</f>
        <v>1</v>
      </c>
      <c r="AH30" s="3">
        <f>IF( AND(AH$3 &gt;= Вводные!$F249, AH$3 &lt;= Вводные!$G249), 1, 0)</f>
        <v>1</v>
      </c>
      <c r="AI30" s="3">
        <f>IF( AND(AI$3 &gt;= Вводные!$F249, AI$3 &lt;= Вводные!$G249), 1, 0)</f>
        <v>1</v>
      </c>
      <c r="AJ30" s="3">
        <f>IF( AND(AJ$3 &gt;= Вводные!$F249, AJ$3 &lt;= Вводные!$G249), 1, 0)</f>
        <v>1</v>
      </c>
      <c r="AK30" s="3">
        <f>IF( AND(AK$3 &gt;= Вводные!$F249, AK$3 &lt;= Вводные!$G249), 1, 0)</f>
        <v>1</v>
      </c>
      <c r="AL30" s="3">
        <f>IF( AND(AL$3 &gt;= Вводные!$F249, AL$3 &lt;= Вводные!$G249), 1, 0)</f>
        <v>1</v>
      </c>
      <c r="AM30" s="3">
        <f>IF( AND(AM$3 &gt;= Вводные!$F249, AM$3 &lt;= Вводные!$G249), 1, 0)</f>
        <v>1</v>
      </c>
      <c r="AN30" s="3">
        <f>IF( AND(AN$3 &gt;= Вводные!$F249, AN$3 &lt;= Вводные!$G249), 1, 0)</f>
        <v>1</v>
      </c>
      <c r="AO30" s="3">
        <f>IF( AND(AO$3 &gt;= Вводные!$F249, AO$3 &lt;= Вводные!$G249), 1, 0)</f>
        <v>1</v>
      </c>
      <c r="AP30" s="3">
        <f>IF( AND(AP$3 &gt;= Вводные!$F249, AP$3 &lt;= Вводные!$G249), 1, 0)</f>
        <v>1</v>
      </c>
      <c r="AQ30" s="3">
        <f>IF( AND(AQ$3 &gt;= Вводные!$F249, AQ$3 &lt;= Вводные!$G249), 1, 0)</f>
        <v>1</v>
      </c>
      <c r="AR30" s="3">
        <f>IF( AND(AR$3 &gt;= Вводные!$F249, AR$3 &lt;= Вводные!$G249), 1, 0)</f>
        <v>1</v>
      </c>
      <c r="AS30" s="3">
        <f>IF( AND(AS$3 &gt;= Вводные!$F249, AS$3 &lt;= Вводные!$G249), 1, 0)</f>
        <v>1</v>
      </c>
      <c r="AT30" s="3">
        <f>IF( AND(AT$3 &gt;= Вводные!$F249, AT$3 &lt;= Вводные!$G249), 1, 0)</f>
        <v>1</v>
      </c>
      <c r="AU30" s="3">
        <f>IF( AND(AU$3 &gt;= Вводные!$F249, AU$3 &lt;= Вводные!$G249), 1, 0)</f>
        <v>0</v>
      </c>
      <c r="AV30" s="3">
        <f>IF( AND(AV$3 &gt;= Вводные!$F249, AV$3 &lt;= Вводные!$G249), 1, 0)</f>
        <v>0</v>
      </c>
      <c r="AW30" s="3">
        <f>IF( AND(AW$3 &gt;= Вводные!$F249, AW$3 &lt;= Вводные!$G249), 1, 0)</f>
        <v>0</v>
      </c>
      <c r="AX30" s="3">
        <f>IF( AND(AX$3 &gt;= Вводные!$F249, AX$3 &lt;= Вводные!$G249), 1, 0)</f>
        <v>0</v>
      </c>
      <c r="AY30" s="3">
        <f>IF( AND(AY$3 &gt;= Вводные!$F249, AY$3 &lt;= Вводные!$G249), 1, 0)</f>
        <v>0</v>
      </c>
      <c r="AZ30" s="3">
        <f>IF( AND(AZ$3 &gt;= Вводные!$F249, AZ$3 &lt;= Вводные!$G249), 1, 0)</f>
        <v>0</v>
      </c>
      <c r="BA30" s="3">
        <f>IF( AND(BA$3 &gt;= Вводные!$F249, BA$3 &lt;= Вводные!$G249), 1, 0)</f>
        <v>0</v>
      </c>
      <c r="BB30" s="3">
        <f>IF( AND(BB$3 &gt;= Вводные!$F249, BB$3 &lt;= Вводные!$G249), 1, 0)</f>
        <v>0</v>
      </c>
      <c r="BC30" s="3">
        <f>IF( AND(BC$3 &gt;= Вводные!$F249, BC$3 &lt;= Вводные!$G249), 1, 0)</f>
        <v>0</v>
      </c>
      <c r="BD30" s="3">
        <f>IF( AND(BD$3 &gt;= Вводные!$F249, BD$3 &lt;= Вводные!$G249), 1, 0)</f>
        <v>0</v>
      </c>
      <c r="BE30" s="3">
        <f>IF( AND(BE$3 &gt;= Вводные!$F249, BE$3 &lt;= Вводные!$G249), 1, 0)</f>
        <v>0</v>
      </c>
      <c r="BF30" s="3">
        <f>IF( AND(BF$3 &gt;= Вводные!$F249, BF$3 &lt;= Вводные!$G249), 1, 0)</f>
        <v>0</v>
      </c>
      <c r="BG30" s="3">
        <f>IF( AND(BG$3 &gt;= Вводные!$F249, BG$3 &lt;= Вводные!$G249), 1, 0)</f>
        <v>0</v>
      </c>
      <c r="BH30" s="3">
        <f>IF( AND(BH$3 &gt;= Вводные!$F249, BH$3 &lt;= Вводные!$G249), 1, 0)</f>
        <v>0</v>
      </c>
      <c r="BI30" s="3">
        <f>IF( AND(BI$3 &gt;= Вводные!$F249, BI$3 &lt;= Вводные!$G249), 1, 0)</f>
        <v>0</v>
      </c>
      <c r="BJ30" s="3">
        <f>IF( AND(BJ$3 &gt;= Вводные!$F249, BJ$3 &lt;= Вводные!$G249), 1, 0)</f>
        <v>0</v>
      </c>
    </row>
    <row r="31" spans="4:62" x14ac:dyDescent="0.15">
      <c r="D31" s="11" t="str">
        <f>Вводные!$D$186</f>
        <v>Ежемесячный расход на цели 7</v>
      </c>
      <c r="E31" s="12" t="s">
        <v>37</v>
      </c>
      <c r="J31" s="3">
        <f>IF( AND(J$3 &gt;= Вводные!$F250, J$3 &lt;= Вводные!$G250), 1, 0)</f>
        <v>1</v>
      </c>
      <c r="K31" s="3">
        <f>IF( AND(K$3 &gt;= Вводные!$F250, K$3 &lt;= Вводные!$G250), 1, 0)</f>
        <v>1</v>
      </c>
      <c r="L31" s="3">
        <f>IF( AND(L$3 &gt;= Вводные!$F250, L$3 &lt;= Вводные!$G250), 1, 0)</f>
        <v>1</v>
      </c>
      <c r="M31" s="3">
        <f>IF( AND(M$3 &gt;= Вводные!$F250, M$3 &lt;= Вводные!$G250), 1, 0)</f>
        <v>1</v>
      </c>
      <c r="N31" s="3">
        <f>IF( AND(N$3 &gt;= Вводные!$F250, N$3 &lt;= Вводные!$G250), 1, 0)</f>
        <v>1</v>
      </c>
      <c r="O31" s="3">
        <f>IF( AND(O$3 &gt;= Вводные!$F250, O$3 &lt;= Вводные!$G250), 1, 0)</f>
        <v>1</v>
      </c>
      <c r="P31" s="3">
        <f>IF( AND(P$3 &gt;= Вводные!$F250, P$3 &lt;= Вводные!$G250), 1, 0)</f>
        <v>1</v>
      </c>
      <c r="Q31" s="3">
        <f>IF( AND(Q$3 &gt;= Вводные!$F250, Q$3 &lt;= Вводные!$G250), 1, 0)</f>
        <v>1</v>
      </c>
      <c r="R31" s="3">
        <f>IF( AND(R$3 &gt;= Вводные!$F250, R$3 &lt;= Вводные!$G250), 1, 0)</f>
        <v>1</v>
      </c>
      <c r="S31" s="3">
        <f>IF( AND(S$3 &gt;= Вводные!$F250, S$3 &lt;= Вводные!$G250), 1, 0)</f>
        <v>1</v>
      </c>
      <c r="T31" s="3">
        <f>IF( AND(T$3 &gt;= Вводные!$F250, T$3 &lt;= Вводные!$G250), 1, 0)</f>
        <v>1</v>
      </c>
      <c r="U31" s="3">
        <f>IF( AND(U$3 &gt;= Вводные!$F250, U$3 &lt;= Вводные!$G250), 1, 0)</f>
        <v>1</v>
      </c>
      <c r="V31" s="3">
        <f>IF( AND(V$3 &gt;= Вводные!$F250, V$3 &lt;= Вводные!$G250), 1, 0)</f>
        <v>1</v>
      </c>
      <c r="W31" s="3">
        <f>IF( AND(W$3 &gt;= Вводные!$F250, W$3 &lt;= Вводные!$G250), 1, 0)</f>
        <v>1</v>
      </c>
      <c r="X31" s="3">
        <f>IF( AND(X$3 &gt;= Вводные!$F250, X$3 &lt;= Вводные!$G250), 1, 0)</f>
        <v>1</v>
      </c>
      <c r="Y31" s="3">
        <f>IF( AND(Y$3 &gt;= Вводные!$F250, Y$3 &lt;= Вводные!$G250), 1, 0)</f>
        <v>1</v>
      </c>
      <c r="Z31" s="3">
        <f>IF( AND(Z$3 &gt;= Вводные!$F250, Z$3 &lt;= Вводные!$G250), 1, 0)</f>
        <v>1</v>
      </c>
      <c r="AA31" s="3">
        <f>IF( AND(AA$3 &gt;= Вводные!$F250, AA$3 &lt;= Вводные!$G250), 1, 0)</f>
        <v>1</v>
      </c>
      <c r="AB31" s="3">
        <f>IF( AND(AB$3 &gt;= Вводные!$F250, AB$3 &lt;= Вводные!$G250), 1, 0)</f>
        <v>1</v>
      </c>
      <c r="AC31" s="3">
        <f>IF( AND(AC$3 &gt;= Вводные!$F250, AC$3 &lt;= Вводные!$G250), 1, 0)</f>
        <v>1</v>
      </c>
      <c r="AD31" s="3">
        <f>IF( AND(AD$3 &gt;= Вводные!$F250, AD$3 &lt;= Вводные!$G250), 1, 0)</f>
        <v>1</v>
      </c>
      <c r="AE31" s="3">
        <f>IF( AND(AE$3 &gt;= Вводные!$F250, AE$3 &lt;= Вводные!$G250), 1, 0)</f>
        <v>1</v>
      </c>
      <c r="AF31" s="3">
        <f>IF( AND(AF$3 &gt;= Вводные!$F250, AF$3 &lt;= Вводные!$G250), 1, 0)</f>
        <v>1</v>
      </c>
      <c r="AG31" s="3">
        <f>IF( AND(AG$3 &gt;= Вводные!$F250, AG$3 &lt;= Вводные!$G250), 1, 0)</f>
        <v>1</v>
      </c>
      <c r="AH31" s="3">
        <f>IF( AND(AH$3 &gt;= Вводные!$F250, AH$3 &lt;= Вводные!$G250), 1, 0)</f>
        <v>1</v>
      </c>
      <c r="AI31" s="3">
        <f>IF( AND(AI$3 &gt;= Вводные!$F250, AI$3 &lt;= Вводные!$G250), 1, 0)</f>
        <v>1</v>
      </c>
      <c r="AJ31" s="3">
        <f>IF( AND(AJ$3 &gt;= Вводные!$F250, AJ$3 &lt;= Вводные!$G250), 1, 0)</f>
        <v>1</v>
      </c>
      <c r="AK31" s="3">
        <f>IF( AND(AK$3 &gt;= Вводные!$F250, AK$3 &lt;= Вводные!$G250), 1, 0)</f>
        <v>1</v>
      </c>
      <c r="AL31" s="3">
        <f>IF( AND(AL$3 &gt;= Вводные!$F250, AL$3 &lt;= Вводные!$G250), 1, 0)</f>
        <v>1</v>
      </c>
      <c r="AM31" s="3">
        <f>IF( AND(AM$3 &gt;= Вводные!$F250, AM$3 &lt;= Вводные!$G250), 1, 0)</f>
        <v>1</v>
      </c>
      <c r="AN31" s="3">
        <f>IF( AND(AN$3 &gt;= Вводные!$F250, AN$3 &lt;= Вводные!$G250), 1, 0)</f>
        <v>1</v>
      </c>
      <c r="AO31" s="3">
        <f>IF( AND(AO$3 &gt;= Вводные!$F250, AO$3 &lt;= Вводные!$G250), 1, 0)</f>
        <v>1</v>
      </c>
      <c r="AP31" s="3">
        <f>IF( AND(AP$3 &gt;= Вводные!$F250, AP$3 &lt;= Вводные!$G250), 1, 0)</f>
        <v>1</v>
      </c>
      <c r="AQ31" s="3">
        <f>IF( AND(AQ$3 &gt;= Вводные!$F250, AQ$3 &lt;= Вводные!$G250), 1, 0)</f>
        <v>1</v>
      </c>
      <c r="AR31" s="3">
        <f>IF( AND(AR$3 &gt;= Вводные!$F250, AR$3 &lt;= Вводные!$G250), 1, 0)</f>
        <v>1</v>
      </c>
      <c r="AS31" s="3">
        <f>IF( AND(AS$3 &gt;= Вводные!$F250, AS$3 &lt;= Вводные!$G250), 1, 0)</f>
        <v>1</v>
      </c>
      <c r="AT31" s="3">
        <f>IF( AND(AT$3 &gt;= Вводные!$F250, AT$3 &lt;= Вводные!$G250), 1, 0)</f>
        <v>1</v>
      </c>
      <c r="AU31" s="3">
        <f>IF( AND(AU$3 &gt;= Вводные!$F250, AU$3 &lt;= Вводные!$G250), 1, 0)</f>
        <v>0</v>
      </c>
      <c r="AV31" s="3">
        <f>IF( AND(AV$3 &gt;= Вводные!$F250, AV$3 &lt;= Вводные!$G250), 1, 0)</f>
        <v>0</v>
      </c>
      <c r="AW31" s="3">
        <f>IF( AND(AW$3 &gt;= Вводные!$F250, AW$3 &lt;= Вводные!$G250), 1, 0)</f>
        <v>0</v>
      </c>
      <c r="AX31" s="3">
        <f>IF( AND(AX$3 &gt;= Вводные!$F250, AX$3 &lt;= Вводные!$G250), 1, 0)</f>
        <v>0</v>
      </c>
      <c r="AY31" s="3">
        <f>IF( AND(AY$3 &gt;= Вводные!$F250, AY$3 &lt;= Вводные!$G250), 1, 0)</f>
        <v>0</v>
      </c>
      <c r="AZ31" s="3">
        <f>IF( AND(AZ$3 &gt;= Вводные!$F250, AZ$3 &lt;= Вводные!$G250), 1, 0)</f>
        <v>0</v>
      </c>
      <c r="BA31" s="3">
        <f>IF( AND(BA$3 &gt;= Вводные!$F250, BA$3 &lt;= Вводные!$G250), 1, 0)</f>
        <v>0</v>
      </c>
      <c r="BB31" s="3">
        <f>IF( AND(BB$3 &gt;= Вводные!$F250, BB$3 &lt;= Вводные!$G250), 1, 0)</f>
        <v>0</v>
      </c>
      <c r="BC31" s="3">
        <f>IF( AND(BC$3 &gt;= Вводные!$F250, BC$3 &lt;= Вводные!$G250), 1, 0)</f>
        <v>0</v>
      </c>
      <c r="BD31" s="3">
        <f>IF( AND(BD$3 &gt;= Вводные!$F250, BD$3 &lt;= Вводные!$G250), 1, 0)</f>
        <v>0</v>
      </c>
      <c r="BE31" s="3">
        <f>IF( AND(BE$3 &gt;= Вводные!$F250, BE$3 &lt;= Вводные!$G250), 1, 0)</f>
        <v>0</v>
      </c>
      <c r="BF31" s="3">
        <f>IF( AND(BF$3 &gt;= Вводные!$F250, BF$3 &lt;= Вводные!$G250), 1, 0)</f>
        <v>0</v>
      </c>
      <c r="BG31" s="3">
        <f>IF( AND(BG$3 &gt;= Вводные!$F250, BG$3 &lt;= Вводные!$G250), 1, 0)</f>
        <v>0</v>
      </c>
      <c r="BH31" s="3">
        <f>IF( AND(BH$3 &gt;= Вводные!$F250, BH$3 &lt;= Вводные!$G250), 1, 0)</f>
        <v>0</v>
      </c>
      <c r="BI31" s="3">
        <f>IF( AND(BI$3 &gt;= Вводные!$F250, BI$3 &lt;= Вводные!$G250), 1, 0)</f>
        <v>0</v>
      </c>
      <c r="BJ31" s="3">
        <f>IF( AND(BJ$3 &gt;= Вводные!$F250, BJ$3 &lt;= Вводные!$G250), 1, 0)</f>
        <v>0</v>
      </c>
    </row>
    <row r="32" spans="4:62" x14ac:dyDescent="0.15">
      <c r="D32" s="11" t="str">
        <f>Вводные!$D$187</f>
        <v>Ежемесячный расход на цели 8</v>
      </c>
      <c r="E32" s="12" t="s">
        <v>37</v>
      </c>
      <c r="J32" s="3">
        <f>IF( AND(J$3 &gt;= Вводные!$F251, J$3 &lt;= Вводные!$G251), 1, 0)</f>
        <v>1</v>
      </c>
      <c r="K32" s="3">
        <f>IF( AND(K$3 &gt;= Вводные!$F251, K$3 &lt;= Вводные!$G251), 1, 0)</f>
        <v>1</v>
      </c>
      <c r="L32" s="3">
        <f>IF( AND(L$3 &gt;= Вводные!$F251, L$3 &lt;= Вводные!$G251), 1, 0)</f>
        <v>1</v>
      </c>
      <c r="M32" s="3">
        <f>IF( AND(M$3 &gt;= Вводные!$F251, M$3 &lt;= Вводные!$G251), 1, 0)</f>
        <v>1</v>
      </c>
      <c r="N32" s="3">
        <f>IF( AND(N$3 &gt;= Вводные!$F251, N$3 &lt;= Вводные!$G251), 1, 0)</f>
        <v>1</v>
      </c>
      <c r="O32" s="3">
        <f>IF( AND(O$3 &gt;= Вводные!$F251, O$3 &lt;= Вводные!$G251), 1, 0)</f>
        <v>1</v>
      </c>
      <c r="P32" s="3">
        <f>IF( AND(P$3 &gt;= Вводные!$F251, P$3 &lt;= Вводные!$G251), 1, 0)</f>
        <v>1</v>
      </c>
      <c r="Q32" s="3">
        <f>IF( AND(Q$3 &gt;= Вводные!$F251, Q$3 &lt;= Вводные!$G251), 1, 0)</f>
        <v>1</v>
      </c>
      <c r="R32" s="3">
        <f>IF( AND(R$3 &gt;= Вводные!$F251, R$3 &lt;= Вводные!$G251), 1, 0)</f>
        <v>1</v>
      </c>
      <c r="S32" s="3">
        <f>IF( AND(S$3 &gt;= Вводные!$F251, S$3 &lt;= Вводные!$G251), 1, 0)</f>
        <v>1</v>
      </c>
      <c r="T32" s="3">
        <f>IF( AND(T$3 &gt;= Вводные!$F251, T$3 &lt;= Вводные!$G251), 1, 0)</f>
        <v>1</v>
      </c>
      <c r="U32" s="3">
        <f>IF( AND(U$3 &gt;= Вводные!$F251, U$3 &lt;= Вводные!$G251), 1, 0)</f>
        <v>1</v>
      </c>
      <c r="V32" s="3">
        <f>IF( AND(V$3 &gt;= Вводные!$F251, V$3 &lt;= Вводные!$G251), 1, 0)</f>
        <v>1</v>
      </c>
      <c r="W32" s="3">
        <f>IF( AND(W$3 &gt;= Вводные!$F251, W$3 &lt;= Вводные!$G251), 1, 0)</f>
        <v>1</v>
      </c>
      <c r="X32" s="3">
        <f>IF( AND(X$3 &gt;= Вводные!$F251, X$3 &lt;= Вводные!$G251), 1, 0)</f>
        <v>1</v>
      </c>
      <c r="Y32" s="3">
        <f>IF( AND(Y$3 &gt;= Вводные!$F251, Y$3 &lt;= Вводные!$G251), 1, 0)</f>
        <v>1</v>
      </c>
      <c r="Z32" s="3">
        <f>IF( AND(Z$3 &gt;= Вводные!$F251, Z$3 &lt;= Вводные!$G251), 1, 0)</f>
        <v>1</v>
      </c>
      <c r="AA32" s="3">
        <f>IF( AND(AA$3 &gt;= Вводные!$F251, AA$3 &lt;= Вводные!$G251), 1, 0)</f>
        <v>1</v>
      </c>
      <c r="AB32" s="3">
        <f>IF( AND(AB$3 &gt;= Вводные!$F251, AB$3 &lt;= Вводные!$G251), 1, 0)</f>
        <v>1</v>
      </c>
      <c r="AC32" s="3">
        <f>IF( AND(AC$3 &gt;= Вводные!$F251, AC$3 &lt;= Вводные!$G251), 1, 0)</f>
        <v>1</v>
      </c>
      <c r="AD32" s="3">
        <f>IF( AND(AD$3 &gt;= Вводные!$F251, AD$3 &lt;= Вводные!$G251), 1, 0)</f>
        <v>1</v>
      </c>
      <c r="AE32" s="3">
        <f>IF( AND(AE$3 &gt;= Вводные!$F251, AE$3 &lt;= Вводные!$G251), 1, 0)</f>
        <v>1</v>
      </c>
      <c r="AF32" s="3">
        <f>IF( AND(AF$3 &gt;= Вводные!$F251, AF$3 &lt;= Вводные!$G251), 1, 0)</f>
        <v>1</v>
      </c>
      <c r="AG32" s="3">
        <f>IF( AND(AG$3 &gt;= Вводные!$F251, AG$3 &lt;= Вводные!$G251), 1, 0)</f>
        <v>1</v>
      </c>
      <c r="AH32" s="3">
        <f>IF( AND(AH$3 &gt;= Вводные!$F251, AH$3 &lt;= Вводные!$G251), 1, 0)</f>
        <v>1</v>
      </c>
      <c r="AI32" s="3">
        <f>IF( AND(AI$3 &gt;= Вводные!$F251, AI$3 &lt;= Вводные!$G251), 1, 0)</f>
        <v>1</v>
      </c>
      <c r="AJ32" s="3">
        <f>IF( AND(AJ$3 &gt;= Вводные!$F251, AJ$3 &lt;= Вводные!$G251), 1, 0)</f>
        <v>1</v>
      </c>
      <c r="AK32" s="3">
        <f>IF( AND(AK$3 &gt;= Вводные!$F251, AK$3 &lt;= Вводные!$G251), 1, 0)</f>
        <v>1</v>
      </c>
      <c r="AL32" s="3">
        <f>IF( AND(AL$3 &gt;= Вводные!$F251, AL$3 &lt;= Вводные!$G251), 1, 0)</f>
        <v>1</v>
      </c>
      <c r="AM32" s="3">
        <f>IF( AND(AM$3 &gt;= Вводные!$F251, AM$3 &lt;= Вводные!$G251), 1, 0)</f>
        <v>1</v>
      </c>
      <c r="AN32" s="3">
        <f>IF( AND(AN$3 &gt;= Вводные!$F251, AN$3 &lt;= Вводные!$G251), 1, 0)</f>
        <v>1</v>
      </c>
      <c r="AO32" s="3">
        <f>IF( AND(AO$3 &gt;= Вводные!$F251, AO$3 &lt;= Вводные!$G251), 1, 0)</f>
        <v>1</v>
      </c>
      <c r="AP32" s="3">
        <f>IF( AND(AP$3 &gt;= Вводные!$F251, AP$3 &lt;= Вводные!$G251), 1, 0)</f>
        <v>1</v>
      </c>
      <c r="AQ32" s="3">
        <f>IF( AND(AQ$3 &gt;= Вводные!$F251, AQ$3 &lt;= Вводные!$G251), 1, 0)</f>
        <v>1</v>
      </c>
      <c r="AR32" s="3">
        <f>IF( AND(AR$3 &gt;= Вводные!$F251, AR$3 &lt;= Вводные!$G251), 1, 0)</f>
        <v>1</v>
      </c>
      <c r="AS32" s="3">
        <f>IF( AND(AS$3 &gt;= Вводные!$F251, AS$3 &lt;= Вводные!$G251), 1, 0)</f>
        <v>1</v>
      </c>
      <c r="AT32" s="3">
        <f>IF( AND(AT$3 &gt;= Вводные!$F251, AT$3 &lt;= Вводные!$G251), 1, 0)</f>
        <v>1</v>
      </c>
      <c r="AU32" s="3">
        <f>IF( AND(AU$3 &gt;= Вводные!$F251, AU$3 &lt;= Вводные!$G251), 1, 0)</f>
        <v>0</v>
      </c>
      <c r="AV32" s="3">
        <f>IF( AND(AV$3 &gt;= Вводные!$F251, AV$3 &lt;= Вводные!$G251), 1, 0)</f>
        <v>0</v>
      </c>
      <c r="AW32" s="3">
        <f>IF( AND(AW$3 &gt;= Вводные!$F251, AW$3 &lt;= Вводные!$G251), 1, 0)</f>
        <v>0</v>
      </c>
      <c r="AX32" s="3">
        <f>IF( AND(AX$3 &gt;= Вводные!$F251, AX$3 &lt;= Вводные!$G251), 1, 0)</f>
        <v>0</v>
      </c>
      <c r="AY32" s="3">
        <f>IF( AND(AY$3 &gt;= Вводные!$F251, AY$3 &lt;= Вводные!$G251), 1, 0)</f>
        <v>0</v>
      </c>
      <c r="AZ32" s="3">
        <f>IF( AND(AZ$3 &gt;= Вводные!$F251, AZ$3 &lt;= Вводные!$G251), 1, 0)</f>
        <v>0</v>
      </c>
      <c r="BA32" s="3">
        <f>IF( AND(BA$3 &gt;= Вводные!$F251, BA$3 &lt;= Вводные!$G251), 1, 0)</f>
        <v>0</v>
      </c>
      <c r="BB32" s="3">
        <f>IF( AND(BB$3 &gt;= Вводные!$F251, BB$3 &lt;= Вводные!$G251), 1, 0)</f>
        <v>0</v>
      </c>
      <c r="BC32" s="3">
        <f>IF( AND(BC$3 &gt;= Вводные!$F251, BC$3 &lt;= Вводные!$G251), 1, 0)</f>
        <v>0</v>
      </c>
      <c r="BD32" s="3">
        <f>IF( AND(BD$3 &gt;= Вводные!$F251, BD$3 &lt;= Вводные!$G251), 1, 0)</f>
        <v>0</v>
      </c>
      <c r="BE32" s="3">
        <f>IF( AND(BE$3 &gt;= Вводные!$F251, BE$3 &lt;= Вводные!$G251), 1, 0)</f>
        <v>0</v>
      </c>
      <c r="BF32" s="3">
        <f>IF( AND(BF$3 &gt;= Вводные!$F251, BF$3 &lt;= Вводные!$G251), 1, 0)</f>
        <v>0</v>
      </c>
      <c r="BG32" s="3">
        <f>IF( AND(BG$3 &gt;= Вводные!$F251, BG$3 &lt;= Вводные!$G251), 1, 0)</f>
        <v>0</v>
      </c>
      <c r="BH32" s="3">
        <f>IF( AND(BH$3 &gt;= Вводные!$F251, BH$3 &lt;= Вводные!$G251), 1, 0)</f>
        <v>0</v>
      </c>
      <c r="BI32" s="3">
        <f>IF( AND(BI$3 &gt;= Вводные!$F251, BI$3 &lt;= Вводные!$G251), 1, 0)</f>
        <v>0</v>
      </c>
      <c r="BJ32" s="3">
        <f>IF( AND(BJ$3 &gt;= Вводные!$F251, BJ$3 &lt;= Вводные!$G251), 1, 0)</f>
        <v>0</v>
      </c>
    </row>
    <row r="33" spans="2:62" x14ac:dyDescent="0.15">
      <c r="D33" s="11" t="str">
        <f>Вводные!$D$188</f>
        <v>Ежемесячный расход на цели 9</v>
      </c>
      <c r="E33" s="12" t="s">
        <v>37</v>
      </c>
      <c r="J33" s="3">
        <f>IF( AND(J$3 &gt;= Вводные!$F252, J$3 &lt;= Вводные!$G252), 1, 0)</f>
        <v>1</v>
      </c>
      <c r="K33" s="3">
        <f>IF( AND(K$3 &gt;= Вводные!$F252, K$3 &lt;= Вводные!$G252), 1, 0)</f>
        <v>1</v>
      </c>
      <c r="L33" s="3">
        <f>IF( AND(L$3 &gt;= Вводные!$F252, L$3 &lt;= Вводные!$G252), 1, 0)</f>
        <v>1</v>
      </c>
      <c r="M33" s="3">
        <f>IF( AND(M$3 &gt;= Вводные!$F252, M$3 &lt;= Вводные!$G252), 1, 0)</f>
        <v>1</v>
      </c>
      <c r="N33" s="3">
        <f>IF( AND(N$3 &gt;= Вводные!$F252, N$3 &lt;= Вводные!$G252), 1, 0)</f>
        <v>1</v>
      </c>
      <c r="O33" s="3">
        <f>IF( AND(O$3 &gt;= Вводные!$F252, O$3 &lt;= Вводные!$G252), 1, 0)</f>
        <v>1</v>
      </c>
      <c r="P33" s="3">
        <f>IF( AND(P$3 &gt;= Вводные!$F252, P$3 &lt;= Вводные!$G252), 1, 0)</f>
        <v>1</v>
      </c>
      <c r="Q33" s="3">
        <f>IF( AND(Q$3 &gt;= Вводные!$F252, Q$3 &lt;= Вводные!$G252), 1, 0)</f>
        <v>1</v>
      </c>
      <c r="R33" s="3">
        <f>IF( AND(R$3 &gt;= Вводные!$F252, R$3 &lt;= Вводные!$G252), 1, 0)</f>
        <v>1</v>
      </c>
      <c r="S33" s="3">
        <f>IF( AND(S$3 &gt;= Вводные!$F252, S$3 &lt;= Вводные!$G252), 1, 0)</f>
        <v>1</v>
      </c>
      <c r="T33" s="3">
        <f>IF( AND(T$3 &gt;= Вводные!$F252, T$3 &lt;= Вводные!$G252), 1, 0)</f>
        <v>1</v>
      </c>
      <c r="U33" s="3">
        <f>IF( AND(U$3 &gt;= Вводные!$F252, U$3 &lt;= Вводные!$G252), 1, 0)</f>
        <v>1</v>
      </c>
      <c r="V33" s="3">
        <f>IF( AND(V$3 &gt;= Вводные!$F252, V$3 &lt;= Вводные!$G252), 1, 0)</f>
        <v>1</v>
      </c>
      <c r="W33" s="3">
        <f>IF( AND(W$3 &gt;= Вводные!$F252, W$3 &lt;= Вводные!$G252), 1, 0)</f>
        <v>1</v>
      </c>
      <c r="X33" s="3">
        <f>IF( AND(X$3 &gt;= Вводные!$F252, X$3 &lt;= Вводные!$G252), 1, 0)</f>
        <v>1</v>
      </c>
      <c r="Y33" s="3">
        <f>IF( AND(Y$3 &gt;= Вводные!$F252, Y$3 &lt;= Вводные!$G252), 1, 0)</f>
        <v>1</v>
      </c>
      <c r="Z33" s="3">
        <f>IF( AND(Z$3 &gt;= Вводные!$F252, Z$3 &lt;= Вводные!$G252), 1, 0)</f>
        <v>1</v>
      </c>
      <c r="AA33" s="3">
        <f>IF( AND(AA$3 &gt;= Вводные!$F252, AA$3 &lt;= Вводные!$G252), 1, 0)</f>
        <v>1</v>
      </c>
      <c r="AB33" s="3">
        <f>IF( AND(AB$3 &gt;= Вводные!$F252, AB$3 &lt;= Вводные!$G252), 1, 0)</f>
        <v>1</v>
      </c>
      <c r="AC33" s="3">
        <f>IF( AND(AC$3 &gt;= Вводные!$F252, AC$3 &lt;= Вводные!$G252), 1, 0)</f>
        <v>1</v>
      </c>
      <c r="AD33" s="3">
        <f>IF( AND(AD$3 &gt;= Вводные!$F252, AD$3 &lt;= Вводные!$G252), 1, 0)</f>
        <v>1</v>
      </c>
      <c r="AE33" s="3">
        <f>IF( AND(AE$3 &gt;= Вводные!$F252, AE$3 &lt;= Вводные!$G252), 1, 0)</f>
        <v>1</v>
      </c>
      <c r="AF33" s="3">
        <f>IF( AND(AF$3 &gt;= Вводные!$F252, AF$3 &lt;= Вводные!$G252), 1, 0)</f>
        <v>1</v>
      </c>
      <c r="AG33" s="3">
        <f>IF( AND(AG$3 &gt;= Вводные!$F252, AG$3 &lt;= Вводные!$G252), 1, 0)</f>
        <v>1</v>
      </c>
      <c r="AH33" s="3">
        <f>IF( AND(AH$3 &gt;= Вводные!$F252, AH$3 &lt;= Вводные!$G252), 1, 0)</f>
        <v>1</v>
      </c>
      <c r="AI33" s="3">
        <f>IF( AND(AI$3 &gt;= Вводные!$F252, AI$3 &lt;= Вводные!$G252), 1, 0)</f>
        <v>1</v>
      </c>
      <c r="AJ33" s="3">
        <f>IF( AND(AJ$3 &gt;= Вводные!$F252, AJ$3 &lt;= Вводные!$G252), 1, 0)</f>
        <v>1</v>
      </c>
      <c r="AK33" s="3">
        <f>IF( AND(AK$3 &gt;= Вводные!$F252, AK$3 &lt;= Вводные!$G252), 1, 0)</f>
        <v>1</v>
      </c>
      <c r="AL33" s="3">
        <f>IF( AND(AL$3 &gt;= Вводные!$F252, AL$3 &lt;= Вводные!$G252), 1, 0)</f>
        <v>1</v>
      </c>
      <c r="AM33" s="3">
        <f>IF( AND(AM$3 &gt;= Вводные!$F252, AM$3 &lt;= Вводные!$G252), 1, 0)</f>
        <v>1</v>
      </c>
      <c r="AN33" s="3">
        <f>IF( AND(AN$3 &gt;= Вводные!$F252, AN$3 &lt;= Вводные!$G252), 1, 0)</f>
        <v>1</v>
      </c>
      <c r="AO33" s="3">
        <f>IF( AND(AO$3 &gt;= Вводные!$F252, AO$3 &lt;= Вводные!$G252), 1, 0)</f>
        <v>1</v>
      </c>
      <c r="AP33" s="3">
        <f>IF( AND(AP$3 &gt;= Вводные!$F252, AP$3 &lt;= Вводные!$G252), 1, 0)</f>
        <v>1</v>
      </c>
      <c r="AQ33" s="3">
        <f>IF( AND(AQ$3 &gt;= Вводные!$F252, AQ$3 &lt;= Вводные!$G252), 1, 0)</f>
        <v>1</v>
      </c>
      <c r="AR33" s="3">
        <f>IF( AND(AR$3 &gt;= Вводные!$F252, AR$3 &lt;= Вводные!$G252), 1, 0)</f>
        <v>1</v>
      </c>
      <c r="AS33" s="3">
        <f>IF( AND(AS$3 &gt;= Вводные!$F252, AS$3 &lt;= Вводные!$G252), 1, 0)</f>
        <v>1</v>
      </c>
      <c r="AT33" s="3">
        <f>IF( AND(AT$3 &gt;= Вводные!$F252, AT$3 &lt;= Вводные!$G252), 1, 0)</f>
        <v>1</v>
      </c>
      <c r="AU33" s="3">
        <f>IF( AND(AU$3 &gt;= Вводные!$F252, AU$3 &lt;= Вводные!$G252), 1, 0)</f>
        <v>0</v>
      </c>
      <c r="AV33" s="3">
        <f>IF( AND(AV$3 &gt;= Вводные!$F252, AV$3 &lt;= Вводные!$G252), 1, 0)</f>
        <v>0</v>
      </c>
      <c r="AW33" s="3">
        <f>IF( AND(AW$3 &gt;= Вводные!$F252, AW$3 &lt;= Вводные!$G252), 1, 0)</f>
        <v>0</v>
      </c>
      <c r="AX33" s="3">
        <f>IF( AND(AX$3 &gt;= Вводные!$F252, AX$3 &lt;= Вводные!$G252), 1, 0)</f>
        <v>0</v>
      </c>
      <c r="AY33" s="3">
        <f>IF( AND(AY$3 &gt;= Вводные!$F252, AY$3 &lt;= Вводные!$G252), 1, 0)</f>
        <v>0</v>
      </c>
      <c r="AZ33" s="3">
        <f>IF( AND(AZ$3 &gt;= Вводные!$F252, AZ$3 &lt;= Вводные!$G252), 1, 0)</f>
        <v>0</v>
      </c>
      <c r="BA33" s="3">
        <f>IF( AND(BA$3 &gt;= Вводные!$F252, BA$3 &lt;= Вводные!$G252), 1, 0)</f>
        <v>0</v>
      </c>
      <c r="BB33" s="3">
        <f>IF( AND(BB$3 &gt;= Вводные!$F252, BB$3 &lt;= Вводные!$G252), 1, 0)</f>
        <v>0</v>
      </c>
      <c r="BC33" s="3">
        <f>IF( AND(BC$3 &gt;= Вводные!$F252, BC$3 &lt;= Вводные!$G252), 1, 0)</f>
        <v>0</v>
      </c>
      <c r="BD33" s="3">
        <f>IF( AND(BD$3 &gt;= Вводные!$F252, BD$3 &lt;= Вводные!$G252), 1, 0)</f>
        <v>0</v>
      </c>
      <c r="BE33" s="3">
        <f>IF( AND(BE$3 &gt;= Вводные!$F252, BE$3 &lt;= Вводные!$G252), 1, 0)</f>
        <v>0</v>
      </c>
      <c r="BF33" s="3">
        <f>IF( AND(BF$3 &gt;= Вводные!$F252, BF$3 &lt;= Вводные!$G252), 1, 0)</f>
        <v>0</v>
      </c>
      <c r="BG33" s="3">
        <f>IF( AND(BG$3 &gt;= Вводные!$F252, BG$3 &lt;= Вводные!$G252), 1, 0)</f>
        <v>0</v>
      </c>
      <c r="BH33" s="3">
        <f>IF( AND(BH$3 &gt;= Вводные!$F252, BH$3 &lt;= Вводные!$G252), 1, 0)</f>
        <v>0</v>
      </c>
      <c r="BI33" s="3">
        <f>IF( AND(BI$3 &gt;= Вводные!$F252, BI$3 &lt;= Вводные!$G252), 1, 0)</f>
        <v>0</v>
      </c>
      <c r="BJ33" s="3">
        <f>IF( AND(BJ$3 &gt;= Вводные!$F252, BJ$3 &lt;= Вводные!$G252), 1, 0)</f>
        <v>0</v>
      </c>
    </row>
    <row r="34" spans="2:62" x14ac:dyDescent="0.15">
      <c r="D34" s="11" t="str">
        <f>Вводные!$D$189</f>
        <v>Ежемесячный расход на цели 10</v>
      </c>
      <c r="E34" s="12" t="s">
        <v>37</v>
      </c>
      <c r="J34" s="3">
        <f>IF( AND(J$3 &gt;= Вводные!$F253, J$3 &lt;= Вводные!$G253), 1, 0)</f>
        <v>1</v>
      </c>
      <c r="K34" s="3">
        <f>IF( AND(K$3 &gt;= Вводные!$F253, K$3 &lt;= Вводные!$G253), 1, 0)</f>
        <v>1</v>
      </c>
      <c r="L34" s="3">
        <f>IF( AND(L$3 &gt;= Вводные!$F253, L$3 &lt;= Вводные!$G253), 1, 0)</f>
        <v>1</v>
      </c>
      <c r="M34" s="3">
        <f>IF( AND(M$3 &gt;= Вводные!$F253, M$3 &lt;= Вводные!$G253), 1, 0)</f>
        <v>1</v>
      </c>
      <c r="N34" s="3">
        <f>IF( AND(N$3 &gt;= Вводные!$F253, N$3 &lt;= Вводные!$G253), 1, 0)</f>
        <v>1</v>
      </c>
      <c r="O34" s="3">
        <f>IF( AND(O$3 &gt;= Вводные!$F253, O$3 &lt;= Вводные!$G253), 1, 0)</f>
        <v>1</v>
      </c>
      <c r="P34" s="3">
        <f>IF( AND(P$3 &gt;= Вводные!$F253, P$3 &lt;= Вводные!$G253), 1, 0)</f>
        <v>1</v>
      </c>
      <c r="Q34" s="3">
        <f>IF( AND(Q$3 &gt;= Вводные!$F253, Q$3 &lt;= Вводные!$G253), 1, 0)</f>
        <v>1</v>
      </c>
      <c r="R34" s="3">
        <f>IF( AND(R$3 &gt;= Вводные!$F253, R$3 &lt;= Вводные!$G253), 1, 0)</f>
        <v>1</v>
      </c>
      <c r="S34" s="3">
        <f>IF( AND(S$3 &gt;= Вводные!$F253, S$3 &lt;= Вводные!$G253), 1, 0)</f>
        <v>1</v>
      </c>
      <c r="T34" s="3">
        <f>IF( AND(T$3 &gt;= Вводные!$F253, T$3 &lt;= Вводные!$G253), 1, 0)</f>
        <v>1</v>
      </c>
      <c r="U34" s="3">
        <f>IF( AND(U$3 &gt;= Вводные!$F253, U$3 &lt;= Вводные!$G253), 1, 0)</f>
        <v>1</v>
      </c>
      <c r="V34" s="3">
        <f>IF( AND(V$3 &gt;= Вводные!$F253, V$3 &lt;= Вводные!$G253), 1, 0)</f>
        <v>1</v>
      </c>
      <c r="W34" s="3">
        <f>IF( AND(W$3 &gt;= Вводные!$F253, W$3 &lt;= Вводные!$G253), 1, 0)</f>
        <v>1</v>
      </c>
      <c r="X34" s="3">
        <f>IF( AND(X$3 &gt;= Вводные!$F253, X$3 &lt;= Вводные!$G253), 1, 0)</f>
        <v>1</v>
      </c>
      <c r="Y34" s="3">
        <f>IF( AND(Y$3 &gt;= Вводные!$F253, Y$3 &lt;= Вводные!$G253), 1, 0)</f>
        <v>1</v>
      </c>
      <c r="Z34" s="3">
        <f>IF( AND(Z$3 &gt;= Вводные!$F253, Z$3 &lt;= Вводные!$G253), 1, 0)</f>
        <v>1</v>
      </c>
      <c r="AA34" s="3">
        <f>IF( AND(AA$3 &gt;= Вводные!$F253, AA$3 &lt;= Вводные!$G253), 1, 0)</f>
        <v>1</v>
      </c>
      <c r="AB34" s="3">
        <f>IF( AND(AB$3 &gt;= Вводные!$F253, AB$3 &lt;= Вводные!$G253), 1, 0)</f>
        <v>1</v>
      </c>
      <c r="AC34" s="3">
        <f>IF( AND(AC$3 &gt;= Вводные!$F253, AC$3 &lt;= Вводные!$G253), 1, 0)</f>
        <v>1</v>
      </c>
      <c r="AD34" s="3">
        <f>IF( AND(AD$3 &gt;= Вводные!$F253, AD$3 &lt;= Вводные!$G253), 1, 0)</f>
        <v>1</v>
      </c>
      <c r="AE34" s="3">
        <f>IF( AND(AE$3 &gt;= Вводные!$F253, AE$3 &lt;= Вводные!$G253), 1, 0)</f>
        <v>1</v>
      </c>
      <c r="AF34" s="3">
        <f>IF( AND(AF$3 &gt;= Вводные!$F253, AF$3 &lt;= Вводные!$G253), 1, 0)</f>
        <v>1</v>
      </c>
      <c r="AG34" s="3">
        <f>IF( AND(AG$3 &gt;= Вводные!$F253, AG$3 &lt;= Вводные!$G253), 1, 0)</f>
        <v>1</v>
      </c>
      <c r="AH34" s="3">
        <f>IF( AND(AH$3 &gt;= Вводные!$F253, AH$3 &lt;= Вводные!$G253), 1, 0)</f>
        <v>1</v>
      </c>
      <c r="AI34" s="3">
        <f>IF( AND(AI$3 &gt;= Вводные!$F253, AI$3 &lt;= Вводные!$G253), 1, 0)</f>
        <v>1</v>
      </c>
      <c r="AJ34" s="3">
        <f>IF( AND(AJ$3 &gt;= Вводные!$F253, AJ$3 &lt;= Вводные!$G253), 1, 0)</f>
        <v>1</v>
      </c>
      <c r="AK34" s="3">
        <f>IF( AND(AK$3 &gt;= Вводные!$F253, AK$3 &lt;= Вводные!$G253), 1, 0)</f>
        <v>1</v>
      </c>
      <c r="AL34" s="3">
        <f>IF( AND(AL$3 &gt;= Вводные!$F253, AL$3 &lt;= Вводные!$G253), 1, 0)</f>
        <v>1</v>
      </c>
      <c r="AM34" s="3">
        <f>IF( AND(AM$3 &gt;= Вводные!$F253, AM$3 &lt;= Вводные!$G253), 1, 0)</f>
        <v>1</v>
      </c>
      <c r="AN34" s="3">
        <f>IF( AND(AN$3 &gt;= Вводные!$F253, AN$3 &lt;= Вводные!$G253), 1, 0)</f>
        <v>1</v>
      </c>
      <c r="AO34" s="3">
        <f>IF( AND(AO$3 &gt;= Вводные!$F253, AO$3 &lt;= Вводные!$G253), 1, 0)</f>
        <v>1</v>
      </c>
      <c r="AP34" s="3">
        <f>IF( AND(AP$3 &gt;= Вводные!$F253, AP$3 &lt;= Вводные!$G253), 1, 0)</f>
        <v>1</v>
      </c>
      <c r="AQ34" s="3">
        <f>IF( AND(AQ$3 &gt;= Вводные!$F253, AQ$3 &lt;= Вводные!$G253), 1, 0)</f>
        <v>1</v>
      </c>
      <c r="AR34" s="3">
        <f>IF( AND(AR$3 &gt;= Вводные!$F253, AR$3 &lt;= Вводные!$G253), 1, 0)</f>
        <v>1</v>
      </c>
      <c r="AS34" s="3">
        <f>IF( AND(AS$3 &gt;= Вводные!$F253, AS$3 &lt;= Вводные!$G253), 1, 0)</f>
        <v>1</v>
      </c>
      <c r="AT34" s="3">
        <f>IF( AND(AT$3 &gt;= Вводные!$F253, AT$3 &lt;= Вводные!$G253), 1, 0)</f>
        <v>1</v>
      </c>
      <c r="AU34" s="3">
        <f>IF( AND(AU$3 &gt;= Вводные!$F253, AU$3 &lt;= Вводные!$G253), 1, 0)</f>
        <v>0</v>
      </c>
      <c r="AV34" s="3">
        <f>IF( AND(AV$3 &gt;= Вводные!$F253, AV$3 &lt;= Вводные!$G253), 1, 0)</f>
        <v>0</v>
      </c>
      <c r="AW34" s="3">
        <f>IF( AND(AW$3 &gt;= Вводные!$F253, AW$3 &lt;= Вводные!$G253), 1, 0)</f>
        <v>0</v>
      </c>
      <c r="AX34" s="3">
        <f>IF( AND(AX$3 &gt;= Вводные!$F253, AX$3 &lt;= Вводные!$G253), 1, 0)</f>
        <v>0</v>
      </c>
      <c r="AY34" s="3">
        <f>IF( AND(AY$3 &gt;= Вводные!$F253, AY$3 &lt;= Вводные!$G253), 1, 0)</f>
        <v>0</v>
      </c>
      <c r="AZ34" s="3">
        <f>IF( AND(AZ$3 &gt;= Вводные!$F253, AZ$3 &lt;= Вводные!$G253), 1, 0)</f>
        <v>0</v>
      </c>
      <c r="BA34" s="3">
        <f>IF( AND(BA$3 &gt;= Вводные!$F253, BA$3 &lt;= Вводные!$G253), 1, 0)</f>
        <v>0</v>
      </c>
      <c r="BB34" s="3">
        <f>IF( AND(BB$3 &gt;= Вводные!$F253, BB$3 &lt;= Вводные!$G253), 1, 0)</f>
        <v>0</v>
      </c>
      <c r="BC34" s="3">
        <f>IF( AND(BC$3 &gt;= Вводные!$F253, BC$3 &lt;= Вводные!$G253), 1, 0)</f>
        <v>0</v>
      </c>
      <c r="BD34" s="3">
        <f>IF( AND(BD$3 &gt;= Вводные!$F253, BD$3 &lt;= Вводные!$G253), 1, 0)</f>
        <v>0</v>
      </c>
      <c r="BE34" s="3">
        <f>IF( AND(BE$3 &gt;= Вводные!$F253, BE$3 &lt;= Вводные!$G253), 1, 0)</f>
        <v>0</v>
      </c>
      <c r="BF34" s="3">
        <f>IF( AND(BF$3 &gt;= Вводные!$F253, BF$3 &lt;= Вводные!$G253), 1, 0)</f>
        <v>0</v>
      </c>
      <c r="BG34" s="3">
        <f>IF( AND(BG$3 &gt;= Вводные!$F253, BG$3 &lt;= Вводные!$G253), 1, 0)</f>
        <v>0</v>
      </c>
      <c r="BH34" s="3">
        <f>IF( AND(BH$3 &gt;= Вводные!$F253, BH$3 &lt;= Вводные!$G253), 1, 0)</f>
        <v>0</v>
      </c>
      <c r="BI34" s="3">
        <f>IF( AND(BI$3 &gt;= Вводные!$F253, BI$3 &lt;= Вводные!$G253), 1, 0)</f>
        <v>0</v>
      </c>
      <c r="BJ34" s="3">
        <f>IF( AND(BJ$3 &gt;= Вводные!$F253, BJ$3 &lt;= Вводные!$G253), 1, 0)</f>
        <v>0</v>
      </c>
    </row>
    <row r="35" spans="2:62" x14ac:dyDescent="0.15">
      <c r="E35" s="12"/>
    </row>
    <row r="36" spans="2:62" ht="12" x14ac:dyDescent="0.15">
      <c r="B36" s="1">
        <f>MAX( $B$7:B33 ) + 1</f>
        <v>2</v>
      </c>
      <c r="C36" s="1"/>
      <c r="D36" s="1" t="s">
        <v>24</v>
      </c>
      <c r="E36" s="1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</row>
    <row r="37" spans="2:62" x14ac:dyDescent="0.15">
      <c r="E37" s="12"/>
    </row>
    <row r="38" spans="2:62" ht="12" thickBot="1" x14ac:dyDescent="0.2">
      <c r="D38" s="8" t="s">
        <v>48</v>
      </c>
      <c r="E38" s="15" t="s">
        <v>110</v>
      </c>
      <c r="I38" s="24">
        <f>SUM(I42,I68)</f>
        <v>-20000</v>
      </c>
      <c r="J38" s="7">
        <f>SUM(J42,J68)</f>
        <v>-20000</v>
      </c>
      <c r="K38" s="7">
        <f t="shared" ref="K38:BJ38" si="0">SUM(K42,K68)</f>
        <v>-20600</v>
      </c>
      <c r="L38" s="7">
        <f t="shared" si="0"/>
        <v>-21218</v>
      </c>
      <c r="M38" s="7">
        <f t="shared" si="0"/>
        <v>-21854.54</v>
      </c>
      <c r="N38" s="7">
        <f t="shared" si="0"/>
        <v>-22510.176200000002</v>
      </c>
      <c r="O38" s="7">
        <f t="shared" si="0"/>
        <v>-23185.481486000001</v>
      </c>
      <c r="P38" s="7">
        <f t="shared" si="0"/>
        <v>-23881.045930580003</v>
      </c>
      <c r="Q38" s="7">
        <f t="shared" si="0"/>
        <v>-24597.477308497404</v>
      </c>
      <c r="R38" s="7">
        <f t="shared" si="0"/>
        <v>-25335.401627752326</v>
      </c>
      <c r="S38" s="7">
        <f t="shared" si="0"/>
        <v>-26095.463676584899</v>
      </c>
      <c r="T38" s="7">
        <f t="shared" si="0"/>
        <v>-26878.327586882446</v>
      </c>
      <c r="U38" s="7">
        <f t="shared" si="0"/>
        <v>-27684.677414488917</v>
      </c>
      <c r="V38" s="7">
        <f t="shared" si="0"/>
        <v>-28515.217736923587</v>
      </c>
      <c r="W38" s="7">
        <f t="shared" si="0"/>
        <v>-29370.674269031297</v>
      </c>
      <c r="X38" s="7">
        <f t="shared" si="0"/>
        <v>-30251.794497102237</v>
      </c>
      <c r="Y38" s="7">
        <f t="shared" si="0"/>
        <v>-31159.348332015306</v>
      </c>
      <c r="Z38" s="7">
        <f t="shared" si="0"/>
        <v>-32094.128781975767</v>
      </c>
      <c r="AA38" s="7">
        <f t="shared" si="0"/>
        <v>-33056.952645435042</v>
      </c>
      <c r="AB38" s="7">
        <f t="shared" si="0"/>
        <v>-34048.661224798088</v>
      </c>
      <c r="AC38" s="7">
        <f t="shared" si="0"/>
        <v>-35070.121061542035</v>
      </c>
      <c r="AD38" s="7">
        <f t="shared" si="0"/>
        <v>-36122.2246933883</v>
      </c>
      <c r="AE38" s="7">
        <f t="shared" si="0"/>
        <v>-37205.891434189951</v>
      </c>
      <c r="AF38" s="7">
        <f t="shared" si="0"/>
        <v>-38322.068177215653</v>
      </c>
      <c r="AG38" s="7">
        <f t="shared" si="0"/>
        <v>-39471.730222532125</v>
      </c>
      <c r="AH38" s="7">
        <f t="shared" si="0"/>
        <v>-40655.88212920809</v>
      </c>
      <c r="AI38" s="7">
        <f t="shared" si="0"/>
        <v>-41875.55859308433</v>
      </c>
      <c r="AJ38" s="7">
        <f t="shared" si="0"/>
        <v>-43131.825350876861</v>
      </c>
      <c r="AK38" s="7">
        <f t="shared" si="0"/>
        <v>-44425.780111403175</v>
      </c>
      <c r="AL38" s="7">
        <f t="shared" si="0"/>
        <v>-45758.553514745268</v>
      </c>
      <c r="AM38" s="7">
        <f t="shared" si="0"/>
        <v>-47131.310120187627</v>
      </c>
      <c r="AN38" s="7">
        <f t="shared" si="0"/>
        <v>-48545.249423793255</v>
      </c>
      <c r="AO38" s="7">
        <f t="shared" si="0"/>
        <v>-50001.606906507048</v>
      </c>
      <c r="AP38" s="7">
        <f t="shared" si="0"/>
        <v>-51501.655113702262</v>
      </c>
      <c r="AQ38" s="7">
        <f t="shared" si="0"/>
        <v>-53046.704767113333</v>
      </c>
      <c r="AR38" s="7">
        <f t="shared" si="0"/>
        <v>-54638.105910126731</v>
      </c>
      <c r="AS38" s="7">
        <f t="shared" si="0"/>
        <v>-56277.249087430529</v>
      </c>
      <c r="AT38" s="7">
        <f t="shared" si="0"/>
        <v>-57965.566560053448</v>
      </c>
      <c r="AU38" s="7">
        <f t="shared" si="0"/>
        <v>0</v>
      </c>
      <c r="AV38" s="7">
        <f t="shared" si="0"/>
        <v>0</v>
      </c>
      <c r="AW38" s="7">
        <f t="shared" si="0"/>
        <v>0</v>
      </c>
      <c r="AX38" s="7">
        <f t="shared" si="0"/>
        <v>0</v>
      </c>
      <c r="AY38" s="7">
        <f t="shared" si="0"/>
        <v>0</v>
      </c>
      <c r="AZ38" s="7">
        <f t="shared" si="0"/>
        <v>0</v>
      </c>
      <c r="BA38" s="7">
        <f t="shared" si="0"/>
        <v>0</v>
      </c>
      <c r="BB38" s="7">
        <f t="shared" si="0"/>
        <v>0</v>
      </c>
      <c r="BC38" s="7">
        <f t="shared" si="0"/>
        <v>0</v>
      </c>
      <c r="BD38" s="7">
        <f t="shared" si="0"/>
        <v>0</v>
      </c>
      <c r="BE38" s="7">
        <f t="shared" si="0"/>
        <v>0</v>
      </c>
      <c r="BF38" s="7">
        <f t="shared" si="0"/>
        <v>0</v>
      </c>
      <c r="BG38" s="7">
        <f t="shared" si="0"/>
        <v>0</v>
      </c>
      <c r="BH38" s="7">
        <f t="shared" si="0"/>
        <v>0</v>
      </c>
      <c r="BI38" s="7">
        <f t="shared" si="0"/>
        <v>0</v>
      </c>
      <c r="BJ38" s="7">
        <f t="shared" si="0"/>
        <v>0</v>
      </c>
    </row>
    <row r="39" spans="2:62" ht="12" thickTop="1" x14ac:dyDescent="0.15">
      <c r="E39" s="12"/>
    </row>
    <row r="40" spans="2:62" x14ac:dyDescent="0.15">
      <c r="C40" s="2">
        <f>MAX( $B$36:C37 ) + 0.1</f>
        <v>2.1</v>
      </c>
      <c r="D40" s="2" t="s">
        <v>27</v>
      </c>
      <c r="E40" s="14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</row>
    <row r="41" spans="2:62" x14ac:dyDescent="0.15">
      <c r="E41" s="12"/>
    </row>
    <row r="42" spans="2:62" ht="12" thickBot="1" x14ac:dyDescent="0.2">
      <c r="D42" s="8" t="s">
        <v>27</v>
      </c>
      <c r="E42" s="15" t="s">
        <v>110</v>
      </c>
      <c r="I42" s="24">
        <f t="shared" ref="I42:AN42" si="1">SUM(I43:I52)</f>
        <v>0</v>
      </c>
      <c r="J42" s="7">
        <f t="shared" si="1"/>
        <v>0</v>
      </c>
      <c r="K42" s="7">
        <f t="shared" si="1"/>
        <v>0</v>
      </c>
      <c r="L42" s="7">
        <f t="shared" si="1"/>
        <v>0</v>
      </c>
      <c r="M42" s="7">
        <f t="shared" si="1"/>
        <v>0</v>
      </c>
      <c r="N42" s="7">
        <f t="shared" si="1"/>
        <v>0</v>
      </c>
      <c r="O42" s="7">
        <f t="shared" si="1"/>
        <v>0</v>
      </c>
      <c r="P42" s="7">
        <f t="shared" si="1"/>
        <v>0</v>
      </c>
      <c r="Q42" s="7">
        <f t="shared" si="1"/>
        <v>0</v>
      </c>
      <c r="R42" s="7">
        <f t="shared" si="1"/>
        <v>0</v>
      </c>
      <c r="S42" s="7">
        <f t="shared" si="1"/>
        <v>0</v>
      </c>
      <c r="T42" s="7">
        <f t="shared" si="1"/>
        <v>0</v>
      </c>
      <c r="U42" s="7">
        <f t="shared" si="1"/>
        <v>0</v>
      </c>
      <c r="V42" s="7">
        <f t="shared" si="1"/>
        <v>0</v>
      </c>
      <c r="W42" s="7">
        <f t="shared" si="1"/>
        <v>0</v>
      </c>
      <c r="X42" s="7">
        <f t="shared" si="1"/>
        <v>0</v>
      </c>
      <c r="Y42" s="7">
        <f t="shared" si="1"/>
        <v>0</v>
      </c>
      <c r="Z42" s="7">
        <f t="shared" si="1"/>
        <v>0</v>
      </c>
      <c r="AA42" s="7">
        <f t="shared" si="1"/>
        <v>0</v>
      </c>
      <c r="AB42" s="7">
        <f t="shared" si="1"/>
        <v>0</v>
      </c>
      <c r="AC42" s="7">
        <f t="shared" si="1"/>
        <v>0</v>
      </c>
      <c r="AD42" s="7">
        <f t="shared" si="1"/>
        <v>0</v>
      </c>
      <c r="AE42" s="7">
        <f t="shared" si="1"/>
        <v>0</v>
      </c>
      <c r="AF42" s="7">
        <f t="shared" si="1"/>
        <v>0</v>
      </c>
      <c r="AG42" s="7">
        <f t="shared" si="1"/>
        <v>0</v>
      </c>
      <c r="AH42" s="7">
        <f t="shared" si="1"/>
        <v>0</v>
      </c>
      <c r="AI42" s="7">
        <f t="shared" si="1"/>
        <v>0</v>
      </c>
      <c r="AJ42" s="7">
        <f t="shared" si="1"/>
        <v>0</v>
      </c>
      <c r="AK42" s="7">
        <f t="shared" si="1"/>
        <v>0</v>
      </c>
      <c r="AL42" s="7">
        <f t="shared" si="1"/>
        <v>0</v>
      </c>
      <c r="AM42" s="7">
        <f t="shared" si="1"/>
        <v>0</v>
      </c>
      <c r="AN42" s="7">
        <f t="shared" si="1"/>
        <v>0</v>
      </c>
      <c r="AO42" s="7">
        <f t="shared" ref="AO42:BJ42" si="2">SUM(AO43:AO52)</f>
        <v>0</v>
      </c>
      <c r="AP42" s="7">
        <f t="shared" si="2"/>
        <v>0</v>
      </c>
      <c r="AQ42" s="7">
        <f t="shared" si="2"/>
        <v>0</v>
      </c>
      <c r="AR42" s="7">
        <f t="shared" si="2"/>
        <v>0</v>
      </c>
      <c r="AS42" s="7">
        <f t="shared" si="2"/>
        <v>0</v>
      </c>
      <c r="AT42" s="7">
        <f t="shared" si="2"/>
        <v>0</v>
      </c>
      <c r="AU42" s="7">
        <f t="shared" si="2"/>
        <v>0</v>
      </c>
      <c r="AV42" s="7">
        <f t="shared" si="2"/>
        <v>0</v>
      </c>
      <c r="AW42" s="7">
        <f t="shared" si="2"/>
        <v>0</v>
      </c>
      <c r="AX42" s="7">
        <f t="shared" si="2"/>
        <v>0</v>
      </c>
      <c r="AY42" s="7">
        <f t="shared" si="2"/>
        <v>0</v>
      </c>
      <c r="AZ42" s="7">
        <f t="shared" si="2"/>
        <v>0</v>
      </c>
      <c r="BA42" s="7">
        <f t="shared" si="2"/>
        <v>0</v>
      </c>
      <c r="BB42" s="7">
        <f t="shared" si="2"/>
        <v>0</v>
      </c>
      <c r="BC42" s="7">
        <f t="shared" si="2"/>
        <v>0</v>
      </c>
      <c r="BD42" s="7">
        <f t="shared" si="2"/>
        <v>0</v>
      </c>
      <c r="BE42" s="7">
        <f t="shared" si="2"/>
        <v>0</v>
      </c>
      <c r="BF42" s="7">
        <f t="shared" si="2"/>
        <v>0</v>
      </c>
      <c r="BG42" s="7">
        <f t="shared" si="2"/>
        <v>0</v>
      </c>
      <c r="BH42" s="7">
        <f t="shared" si="2"/>
        <v>0</v>
      </c>
      <c r="BI42" s="7">
        <f t="shared" si="2"/>
        <v>0</v>
      </c>
      <c r="BJ42" s="7">
        <f t="shared" si="2"/>
        <v>0</v>
      </c>
    </row>
    <row r="43" spans="2:62" ht="12" thickTop="1" x14ac:dyDescent="0.15">
      <c r="D43" s="11" t="str">
        <f>Вводные!$D$180</f>
        <v>Ежемесячный расход на цели 1</v>
      </c>
      <c r="E43" s="12" t="s">
        <v>110</v>
      </c>
      <c r="I43" s="22">
        <f>Вводные!F180 * Вводные!$F$12</f>
        <v>0</v>
      </c>
      <c r="J43" s="3">
        <f>$I43 * J55 * J13</f>
        <v>0</v>
      </c>
      <c r="K43" s="3">
        <f t="shared" ref="K43:BJ43" si="3">$I43 * K55 * K13</f>
        <v>0</v>
      </c>
      <c r="L43" s="3">
        <f t="shared" si="3"/>
        <v>0</v>
      </c>
      <c r="M43" s="3">
        <f t="shared" si="3"/>
        <v>0</v>
      </c>
      <c r="N43" s="3">
        <f t="shared" si="3"/>
        <v>0</v>
      </c>
      <c r="O43" s="3">
        <f t="shared" si="3"/>
        <v>0</v>
      </c>
      <c r="P43" s="3">
        <f t="shared" si="3"/>
        <v>0</v>
      </c>
      <c r="Q43" s="3">
        <f t="shared" si="3"/>
        <v>0</v>
      </c>
      <c r="R43" s="3">
        <f t="shared" si="3"/>
        <v>0</v>
      </c>
      <c r="S43" s="3">
        <f t="shared" si="3"/>
        <v>0</v>
      </c>
      <c r="T43" s="3">
        <f t="shared" si="3"/>
        <v>0</v>
      </c>
      <c r="U43" s="3">
        <f t="shared" si="3"/>
        <v>0</v>
      </c>
      <c r="V43" s="3">
        <f t="shared" si="3"/>
        <v>0</v>
      </c>
      <c r="W43" s="3">
        <f t="shared" si="3"/>
        <v>0</v>
      </c>
      <c r="X43" s="3">
        <f t="shared" si="3"/>
        <v>0</v>
      </c>
      <c r="Y43" s="3">
        <f t="shared" si="3"/>
        <v>0</v>
      </c>
      <c r="Z43" s="3">
        <f t="shared" si="3"/>
        <v>0</v>
      </c>
      <c r="AA43" s="3">
        <f t="shared" si="3"/>
        <v>0</v>
      </c>
      <c r="AB43" s="3">
        <f t="shared" si="3"/>
        <v>0</v>
      </c>
      <c r="AC43" s="3">
        <f t="shared" si="3"/>
        <v>0</v>
      </c>
      <c r="AD43" s="3">
        <f t="shared" si="3"/>
        <v>0</v>
      </c>
      <c r="AE43" s="3">
        <f t="shared" si="3"/>
        <v>0</v>
      </c>
      <c r="AF43" s="3">
        <f t="shared" si="3"/>
        <v>0</v>
      </c>
      <c r="AG43" s="3">
        <f t="shared" si="3"/>
        <v>0</v>
      </c>
      <c r="AH43" s="3">
        <f t="shared" si="3"/>
        <v>0</v>
      </c>
      <c r="AI43" s="3">
        <f t="shared" si="3"/>
        <v>0</v>
      </c>
      <c r="AJ43" s="3">
        <f t="shared" si="3"/>
        <v>0</v>
      </c>
      <c r="AK43" s="3">
        <f t="shared" si="3"/>
        <v>0</v>
      </c>
      <c r="AL43" s="3">
        <f t="shared" si="3"/>
        <v>0</v>
      </c>
      <c r="AM43" s="3">
        <f t="shared" si="3"/>
        <v>0</v>
      </c>
      <c r="AN43" s="3">
        <f t="shared" si="3"/>
        <v>0</v>
      </c>
      <c r="AO43" s="3">
        <f t="shared" si="3"/>
        <v>0</v>
      </c>
      <c r="AP43" s="3">
        <f t="shared" si="3"/>
        <v>0</v>
      </c>
      <c r="AQ43" s="3">
        <f t="shared" si="3"/>
        <v>0</v>
      </c>
      <c r="AR43" s="3">
        <f t="shared" si="3"/>
        <v>0</v>
      </c>
      <c r="AS43" s="3">
        <f t="shared" si="3"/>
        <v>0</v>
      </c>
      <c r="AT43" s="3">
        <f t="shared" si="3"/>
        <v>0</v>
      </c>
      <c r="AU43" s="3">
        <f t="shared" si="3"/>
        <v>0</v>
      </c>
      <c r="AV43" s="3">
        <f t="shared" si="3"/>
        <v>0</v>
      </c>
      <c r="AW43" s="3">
        <f t="shared" si="3"/>
        <v>0</v>
      </c>
      <c r="AX43" s="3">
        <f t="shared" si="3"/>
        <v>0</v>
      </c>
      <c r="AY43" s="3">
        <f t="shared" si="3"/>
        <v>0</v>
      </c>
      <c r="AZ43" s="3">
        <f t="shared" si="3"/>
        <v>0</v>
      </c>
      <c r="BA43" s="3">
        <f t="shared" si="3"/>
        <v>0</v>
      </c>
      <c r="BB43" s="3">
        <f t="shared" si="3"/>
        <v>0</v>
      </c>
      <c r="BC43" s="3">
        <f t="shared" si="3"/>
        <v>0</v>
      </c>
      <c r="BD43" s="3">
        <f t="shared" si="3"/>
        <v>0</v>
      </c>
      <c r="BE43" s="3">
        <f t="shared" si="3"/>
        <v>0</v>
      </c>
      <c r="BF43" s="3">
        <f t="shared" si="3"/>
        <v>0</v>
      </c>
      <c r="BG43" s="3">
        <f t="shared" si="3"/>
        <v>0</v>
      </c>
      <c r="BH43" s="3">
        <f t="shared" si="3"/>
        <v>0</v>
      </c>
      <c r="BI43" s="3">
        <f t="shared" si="3"/>
        <v>0</v>
      </c>
      <c r="BJ43" s="3">
        <f t="shared" si="3"/>
        <v>0</v>
      </c>
    </row>
    <row r="44" spans="2:62" x14ac:dyDescent="0.15">
      <c r="D44" s="11" t="str">
        <f>Вводные!$D$181</f>
        <v>Ежемесячный расход на цели 2</v>
      </c>
      <c r="E44" s="12" t="s">
        <v>110</v>
      </c>
      <c r="I44" s="22">
        <f>Вводные!F181 * Вводные!$F$12</f>
        <v>0</v>
      </c>
      <c r="J44" s="3">
        <f t="shared" ref="J44:BJ44" si="4">$I44 * J56 * J14</f>
        <v>0</v>
      </c>
      <c r="K44" s="3">
        <f t="shared" si="4"/>
        <v>0</v>
      </c>
      <c r="L44" s="3">
        <f t="shared" si="4"/>
        <v>0</v>
      </c>
      <c r="M44" s="3">
        <f t="shared" si="4"/>
        <v>0</v>
      </c>
      <c r="N44" s="3">
        <f t="shared" si="4"/>
        <v>0</v>
      </c>
      <c r="O44" s="3">
        <f t="shared" si="4"/>
        <v>0</v>
      </c>
      <c r="P44" s="3">
        <f t="shared" si="4"/>
        <v>0</v>
      </c>
      <c r="Q44" s="3">
        <f t="shared" si="4"/>
        <v>0</v>
      </c>
      <c r="R44" s="3">
        <f t="shared" si="4"/>
        <v>0</v>
      </c>
      <c r="S44" s="3">
        <f t="shared" si="4"/>
        <v>0</v>
      </c>
      <c r="T44" s="3">
        <f t="shared" si="4"/>
        <v>0</v>
      </c>
      <c r="U44" s="3">
        <f t="shared" si="4"/>
        <v>0</v>
      </c>
      <c r="V44" s="3">
        <f t="shared" si="4"/>
        <v>0</v>
      </c>
      <c r="W44" s="3">
        <f t="shared" si="4"/>
        <v>0</v>
      </c>
      <c r="X44" s="3">
        <f t="shared" si="4"/>
        <v>0</v>
      </c>
      <c r="Y44" s="3">
        <f t="shared" si="4"/>
        <v>0</v>
      </c>
      <c r="Z44" s="3">
        <f t="shared" si="4"/>
        <v>0</v>
      </c>
      <c r="AA44" s="3">
        <f t="shared" si="4"/>
        <v>0</v>
      </c>
      <c r="AB44" s="3">
        <f t="shared" si="4"/>
        <v>0</v>
      </c>
      <c r="AC44" s="3">
        <f t="shared" si="4"/>
        <v>0</v>
      </c>
      <c r="AD44" s="3">
        <f t="shared" si="4"/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3">
        <f t="shared" si="4"/>
        <v>0</v>
      </c>
      <c r="AI44" s="3">
        <f t="shared" si="4"/>
        <v>0</v>
      </c>
      <c r="AJ44" s="3">
        <f t="shared" si="4"/>
        <v>0</v>
      </c>
      <c r="AK44" s="3">
        <f t="shared" si="4"/>
        <v>0</v>
      </c>
      <c r="AL44" s="3">
        <f t="shared" si="4"/>
        <v>0</v>
      </c>
      <c r="AM44" s="3">
        <f t="shared" si="4"/>
        <v>0</v>
      </c>
      <c r="AN44" s="3">
        <f t="shared" si="4"/>
        <v>0</v>
      </c>
      <c r="AO44" s="3">
        <f t="shared" si="4"/>
        <v>0</v>
      </c>
      <c r="AP44" s="3">
        <f t="shared" si="4"/>
        <v>0</v>
      </c>
      <c r="AQ44" s="3">
        <f t="shared" si="4"/>
        <v>0</v>
      </c>
      <c r="AR44" s="3">
        <f t="shared" si="4"/>
        <v>0</v>
      </c>
      <c r="AS44" s="3">
        <f t="shared" si="4"/>
        <v>0</v>
      </c>
      <c r="AT44" s="3">
        <f t="shared" si="4"/>
        <v>0</v>
      </c>
      <c r="AU44" s="3">
        <f t="shared" si="4"/>
        <v>0</v>
      </c>
      <c r="AV44" s="3">
        <f t="shared" si="4"/>
        <v>0</v>
      </c>
      <c r="AW44" s="3">
        <f t="shared" si="4"/>
        <v>0</v>
      </c>
      <c r="AX44" s="3">
        <f t="shared" si="4"/>
        <v>0</v>
      </c>
      <c r="AY44" s="3">
        <f t="shared" si="4"/>
        <v>0</v>
      </c>
      <c r="AZ44" s="3">
        <f t="shared" si="4"/>
        <v>0</v>
      </c>
      <c r="BA44" s="3">
        <f t="shared" si="4"/>
        <v>0</v>
      </c>
      <c r="BB44" s="3">
        <f t="shared" si="4"/>
        <v>0</v>
      </c>
      <c r="BC44" s="3">
        <f t="shared" si="4"/>
        <v>0</v>
      </c>
      <c r="BD44" s="3">
        <f t="shared" si="4"/>
        <v>0</v>
      </c>
      <c r="BE44" s="3">
        <f t="shared" si="4"/>
        <v>0</v>
      </c>
      <c r="BF44" s="3">
        <f t="shared" si="4"/>
        <v>0</v>
      </c>
      <c r="BG44" s="3">
        <f t="shared" si="4"/>
        <v>0</v>
      </c>
      <c r="BH44" s="3">
        <f t="shared" si="4"/>
        <v>0</v>
      </c>
      <c r="BI44" s="3">
        <f t="shared" si="4"/>
        <v>0</v>
      </c>
      <c r="BJ44" s="3">
        <f t="shared" si="4"/>
        <v>0</v>
      </c>
    </row>
    <row r="45" spans="2:62" x14ac:dyDescent="0.15">
      <c r="D45" s="11" t="str">
        <f>Вводные!$D$182</f>
        <v>Ежемесячный расход на цели 3</v>
      </c>
      <c r="E45" s="12" t="s">
        <v>110</v>
      </c>
      <c r="I45" s="20">
        <f>Вводные!F182 * Вводные!$F$12</f>
        <v>0</v>
      </c>
      <c r="J45" s="3">
        <f t="shared" ref="J45:BJ45" si="5">$I45 * J57 * J15</f>
        <v>0</v>
      </c>
      <c r="K45" s="3">
        <f t="shared" si="5"/>
        <v>0</v>
      </c>
      <c r="L45" s="3">
        <f t="shared" si="5"/>
        <v>0</v>
      </c>
      <c r="M45" s="3">
        <f t="shared" si="5"/>
        <v>0</v>
      </c>
      <c r="N45" s="3">
        <f t="shared" si="5"/>
        <v>0</v>
      </c>
      <c r="O45" s="3">
        <f t="shared" si="5"/>
        <v>0</v>
      </c>
      <c r="P45" s="3">
        <f t="shared" si="5"/>
        <v>0</v>
      </c>
      <c r="Q45" s="3">
        <f t="shared" si="5"/>
        <v>0</v>
      </c>
      <c r="R45" s="3">
        <f t="shared" si="5"/>
        <v>0</v>
      </c>
      <c r="S45" s="3">
        <f t="shared" si="5"/>
        <v>0</v>
      </c>
      <c r="T45" s="3">
        <f t="shared" si="5"/>
        <v>0</v>
      </c>
      <c r="U45" s="3">
        <f t="shared" si="5"/>
        <v>0</v>
      </c>
      <c r="V45" s="3">
        <f t="shared" si="5"/>
        <v>0</v>
      </c>
      <c r="W45" s="3">
        <f t="shared" si="5"/>
        <v>0</v>
      </c>
      <c r="X45" s="3">
        <f t="shared" si="5"/>
        <v>0</v>
      </c>
      <c r="Y45" s="3">
        <f t="shared" si="5"/>
        <v>0</v>
      </c>
      <c r="Z45" s="3">
        <f t="shared" si="5"/>
        <v>0</v>
      </c>
      <c r="AA45" s="3">
        <f t="shared" si="5"/>
        <v>0</v>
      </c>
      <c r="AB45" s="3">
        <f t="shared" si="5"/>
        <v>0</v>
      </c>
      <c r="AC45" s="3">
        <f t="shared" si="5"/>
        <v>0</v>
      </c>
      <c r="AD45" s="3">
        <f t="shared" si="5"/>
        <v>0</v>
      </c>
      <c r="AE45" s="3">
        <f t="shared" si="5"/>
        <v>0</v>
      </c>
      <c r="AF45" s="3">
        <f t="shared" si="5"/>
        <v>0</v>
      </c>
      <c r="AG45" s="3">
        <f t="shared" si="5"/>
        <v>0</v>
      </c>
      <c r="AH45" s="3">
        <f t="shared" si="5"/>
        <v>0</v>
      </c>
      <c r="AI45" s="3">
        <f t="shared" si="5"/>
        <v>0</v>
      </c>
      <c r="AJ45" s="3">
        <f t="shared" si="5"/>
        <v>0</v>
      </c>
      <c r="AK45" s="3">
        <f t="shared" si="5"/>
        <v>0</v>
      </c>
      <c r="AL45" s="3">
        <f t="shared" si="5"/>
        <v>0</v>
      </c>
      <c r="AM45" s="3">
        <f t="shared" si="5"/>
        <v>0</v>
      </c>
      <c r="AN45" s="3">
        <f t="shared" si="5"/>
        <v>0</v>
      </c>
      <c r="AO45" s="3">
        <f t="shared" si="5"/>
        <v>0</v>
      </c>
      <c r="AP45" s="3">
        <f t="shared" si="5"/>
        <v>0</v>
      </c>
      <c r="AQ45" s="3">
        <f t="shared" si="5"/>
        <v>0</v>
      </c>
      <c r="AR45" s="3">
        <f t="shared" si="5"/>
        <v>0</v>
      </c>
      <c r="AS45" s="3">
        <f t="shared" si="5"/>
        <v>0</v>
      </c>
      <c r="AT45" s="3">
        <f t="shared" si="5"/>
        <v>0</v>
      </c>
      <c r="AU45" s="3">
        <f t="shared" si="5"/>
        <v>0</v>
      </c>
      <c r="AV45" s="3">
        <f t="shared" si="5"/>
        <v>0</v>
      </c>
      <c r="AW45" s="3">
        <f t="shared" si="5"/>
        <v>0</v>
      </c>
      <c r="AX45" s="3">
        <f t="shared" si="5"/>
        <v>0</v>
      </c>
      <c r="AY45" s="3">
        <f t="shared" si="5"/>
        <v>0</v>
      </c>
      <c r="AZ45" s="3">
        <f t="shared" si="5"/>
        <v>0</v>
      </c>
      <c r="BA45" s="3">
        <f t="shared" si="5"/>
        <v>0</v>
      </c>
      <c r="BB45" s="3">
        <f t="shared" si="5"/>
        <v>0</v>
      </c>
      <c r="BC45" s="3">
        <f t="shared" si="5"/>
        <v>0</v>
      </c>
      <c r="BD45" s="3">
        <f t="shared" si="5"/>
        <v>0</v>
      </c>
      <c r="BE45" s="3">
        <f t="shared" si="5"/>
        <v>0</v>
      </c>
      <c r="BF45" s="3">
        <f t="shared" si="5"/>
        <v>0</v>
      </c>
      <c r="BG45" s="3">
        <f t="shared" si="5"/>
        <v>0</v>
      </c>
      <c r="BH45" s="3">
        <f t="shared" si="5"/>
        <v>0</v>
      </c>
      <c r="BI45" s="3">
        <f t="shared" si="5"/>
        <v>0</v>
      </c>
      <c r="BJ45" s="3">
        <f t="shared" si="5"/>
        <v>0</v>
      </c>
    </row>
    <row r="46" spans="2:62" x14ac:dyDescent="0.15">
      <c r="D46" s="11" t="str">
        <f>Вводные!$D$183</f>
        <v>Ежемесячный расход на цели 4</v>
      </c>
      <c r="E46" s="12" t="s">
        <v>110</v>
      </c>
      <c r="I46" s="20">
        <f>Вводные!F183 * Вводные!$F$12</f>
        <v>0</v>
      </c>
      <c r="J46" s="3">
        <f t="shared" ref="J46:BJ46" si="6">$I46 * J58 * J16</f>
        <v>0</v>
      </c>
      <c r="K46" s="3">
        <f t="shared" si="6"/>
        <v>0</v>
      </c>
      <c r="L46" s="3">
        <f t="shared" si="6"/>
        <v>0</v>
      </c>
      <c r="M46" s="3">
        <f t="shared" si="6"/>
        <v>0</v>
      </c>
      <c r="N46" s="3">
        <f t="shared" si="6"/>
        <v>0</v>
      </c>
      <c r="O46" s="3">
        <f t="shared" si="6"/>
        <v>0</v>
      </c>
      <c r="P46" s="3">
        <f t="shared" si="6"/>
        <v>0</v>
      </c>
      <c r="Q46" s="3">
        <f t="shared" si="6"/>
        <v>0</v>
      </c>
      <c r="R46" s="3">
        <f t="shared" si="6"/>
        <v>0</v>
      </c>
      <c r="S46" s="3">
        <f t="shared" si="6"/>
        <v>0</v>
      </c>
      <c r="T46" s="3">
        <f t="shared" si="6"/>
        <v>0</v>
      </c>
      <c r="U46" s="3">
        <f t="shared" si="6"/>
        <v>0</v>
      </c>
      <c r="V46" s="3">
        <f t="shared" si="6"/>
        <v>0</v>
      </c>
      <c r="W46" s="3">
        <f t="shared" si="6"/>
        <v>0</v>
      </c>
      <c r="X46" s="3">
        <f t="shared" si="6"/>
        <v>0</v>
      </c>
      <c r="Y46" s="3">
        <f t="shared" si="6"/>
        <v>0</v>
      </c>
      <c r="Z46" s="3">
        <f t="shared" si="6"/>
        <v>0</v>
      </c>
      <c r="AA46" s="3">
        <f t="shared" si="6"/>
        <v>0</v>
      </c>
      <c r="AB46" s="3">
        <f t="shared" si="6"/>
        <v>0</v>
      </c>
      <c r="AC46" s="3">
        <f t="shared" si="6"/>
        <v>0</v>
      </c>
      <c r="AD46" s="3">
        <f t="shared" si="6"/>
        <v>0</v>
      </c>
      <c r="AE46" s="3">
        <f t="shared" si="6"/>
        <v>0</v>
      </c>
      <c r="AF46" s="3">
        <f t="shared" si="6"/>
        <v>0</v>
      </c>
      <c r="AG46" s="3">
        <f t="shared" si="6"/>
        <v>0</v>
      </c>
      <c r="AH46" s="3">
        <f t="shared" si="6"/>
        <v>0</v>
      </c>
      <c r="AI46" s="3">
        <f t="shared" si="6"/>
        <v>0</v>
      </c>
      <c r="AJ46" s="3">
        <f t="shared" si="6"/>
        <v>0</v>
      </c>
      <c r="AK46" s="3">
        <f t="shared" si="6"/>
        <v>0</v>
      </c>
      <c r="AL46" s="3">
        <f t="shared" si="6"/>
        <v>0</v>
      </c>
      <c r="AM46" s="3">
        <f t="shared" si="6"/>
        <v>0</v>
      </c>
      <c r="AN46" s="3">
        <f t="shared" si="6"/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3">
        <f t="shared" si="6"/>
        <v>0</v>
      </c>
      <c r="AS46" s="3">
        <f t="shared" si="6"/>
        <v>0</v>
      </c>
      <c r="AT46" s="3">
        <f t="shared" si="6"/>
        <v>0</v>
      </c>
      <c r="AU46" s="3">
        <f t="shared" si="6"/>
        <v>0</v>
      </c>
      <c r="AV46" s="3">
        <f t="shared" si="6"/>
        <v>0</v>
      </c>
      <c r="AW46" s="3">
        <f t="shared" si="6"/>
        <v>0</v>
      </c>
      <c r="AX46" s="3">
        <f t="shared" si="6"/>
        <v>0</v>
      </c>
      <c r="AY46" s="3">
        <f t="shared" si="6"/>
        <v>0</v>
      </c>
      <c r="AZ46" s="3">
        <f t="shared" si="6"/>
        <v>0</v>
      </c>
      <c r="BA46" s="3">
        <f t="shared" si="6"/>
        <v>0</v>
      </c>
      <c r="BB46" s="3">
        <f t="shared" si="6"/>
        <v>0</v>
      </c>
      <c r="BC46" s="3">
        <f t="shared" si="6"/>
        <v>0</v>
      </c>
      <c r="BD46" s="3">
        <f t="shared" si="6"/>
        <v>0</v>
      </c>
      <c r="BE46" s="3">
        <f t="shared" si="6"/>
        <v>0</v>
      </c>
      <c r="BF46" s="3">
        <f t="shared" si="6"/>
        <v>0</v>
      </c>
      <c r="BG46" s="3">
        <f t="shared" si="6"/>
        <v>0</v>
      </c>
      <c r="BH46" s="3">
        <f t="shared" si="6"/>
        <v>0</v>
      </c>
      <c r="BI46" s="3">
        <f t="shared" si="6"/>
        <v>0</v>
      </c>
      <c r="BJ46" s="3">
        <f t="shared" si="6"/>
        <v>0</v>
      </c>
    </row>
    <row r="47" spans="2:62" x14ac:dyDescent="0.15">
      <c r="D47" s="11" t="str">
        <f>Вводные!$D$184</f>
        <v>Ежемесячный расход на цели 5</v>
      </c>
      <c r="E47" s="12" t="s">
        <v>110</v>
      </c>
      <c r="I47" s="20">
        <f>Вводные!F184 * Вводные!$F$12</f>
        <v>0</v>
      </c>
      <c r="J47" s="3">
        <f t="shared" ref="J47:BJ47" si="7">$I47 * J59 * J17</f>
        <v>0</v>
      </c>
      <c r="K47" s="3">
        <f t="shared" si="7"/>
        <v>0</v>
      </c>
      <c r="L47" s="3">
        <f t="shared" si="7"/>
        <v>0</v>
      </c>
      <c r="M47" s="3">
        <f t="shared" si="7"/>
        <v>0</v>
      </c>
      <c r="N47" s="3">
        <f t="shared" si="7"/>
        <v>0</v>
      </c>
      <c r="O47" s="3">
        <f t="shared" si="7"/>
        <v>0</v>
      </c>
      <c r="P47" s="3">
        <f t="shared" si="7"/>
        <v>0</v>
      </c>
      <c r="Q47" s="3">
        <f t="shared" si="7"/>
        <v>0</v>
      </c>
      <c r="R47" s="3">
        <f t="shared" si="7"/>
        <v>0</v>
      </c>
      <c r="S47" s="3">
        <f t="shared" si="7"/>
        <v>0</v>
      </c>
      <c r="T47" s="3">
        <f t="shared" si="7"/>
        <v>0</v>
      </c>
      <c r="U47" s="3">
        <f t="shared" si="7"/>
        <v>0</v>
      </c>
      <c r="V47" s="3">
        <f t="shared" si="7"/>
        <v>0</v>
      </c>
      <c r="W47" s="3">
        <f t="shared" si="7"/>
        <v>0</v>
      </c>
      <c r="X47" s="3">
        <f t="shared" si="7"/>
        <v>0</v>
      </c>
      <c r="Y47" s="3">
        <f t="shared" si="7"/>
        <v>0</v>
      </c>
      <c r="Z47" s="3">
        <f t="shared" si="7"/>
        <v>0</v>
      </c>
      <c r="AA47" s="3">
        <f t="shared" si="7"/>
        <v>0</v>
      </c>
      <c r="AB47" s="3">
        <f t="shared" si="7"/>
        <v>0</v>
      </c>
      <c r="AC47" s="3">
        <f t="shared" si="7"/>
        <v>0</v>
      </c>
      <c r="AD47" s="3">
        <f t="shared" si="7"/>
        <v>0</v>
      </c>
      <c r="AE47" s="3">
        <f t="shared" si="7"/>
        <v>0</v>
      </c>
      <c r="AF47" s="3">
        <f t="shared" si="7"/>
        <v>0</v>
      </c>
      <c r="AG47" s="3">
        <f t="shared" si="7"/>
        <v>0</v>
      </c>
      <c r="AH47" s="3">
        <f t="shared" si="7"/>
        <v>0</v>
      </c>
      <c r="AI47" s="3">
        <f t="shared" si="7"/>
        <v>0</v>
      </c>
      <c r="AJ47" s="3">
        <f t="shared" si="7"/>
        <v>0</v>
      </c>
      <c r="AK47" s="3">
        <f t="shared" si="7"/>
        <v>0</v>
      </c>
      <c r="AL47" s="3">
        <f t="shared" si="7"/>
        <v>0</v>
      </c>
      <c r="AM47" s="3">
        <f t="shared" si="7"/>
        <v>0</v>
      </c>
      <c r="AN47" s="3">
        <f t="shared" si="7"/>
        <v>0</v>
      </c>
      <c r="AO47" s="3">
        <f t="shared" si="7"/>
        <v>0</v>
      </c>
      <c r="AP47" s="3">
        <f t="shared" si="7"/>
        <v>0</v>
      </c>
      <c r="AQ47" s="3">
        <f t="shared" si="7"/>
        <v>0</v>
      </c>
      <c r="AR47" s="3">
        <f t="shared" si="7"/>
        <v>0</v>
      </c>
      <c r="AS47" s="3">
        <f t="shared" si="7"/>
        <v>0</v>
      </c>
      <c r="AT47" s="3">
        <f t="shared" si="7"/>
        <v>0</v>
      </c>
      <c r="AU47" s="3">
        <f t="shared" si="7"/>
        <v>0</v>
      </c>
      <c r="AV47" s="3">
        <f t="shared" si="7"/>
        <v>0</v>
      </c>
      <c r="AW47" s="3">
        <f t="shared" si="7"/>
        <v>0</v>
      </c>
      <c r="AX47" s="3">
        <f t="shared" si="7"/>
        <v>0</v>
      </c>
      <c r="AY47" s="3">
        <f t="shared" si="7"/>
        <v>0</v>
      </c>
      <c r="AZ47" s="3">
        <f t="shared" si="7"/>
        <v>0</v>
      </c>
      <c r="BA47" s="3">
        <f t="shared" si="7"/>
        <v>0</v>
      </c>
      <c r="BB47" s="3">
        <f t="shared" si="7"/>
        <v>0</v>
      </c>
      <c r="BC47" s="3">
        <f t="shared" si="7"/>
        <v>0</v>
      </c>
      <c r="BD47" s="3">
        <f t="shared" si="7"/>
        <v>0</v>
      </c>
      <c r="BE47" s="3">
        <f t="shared" si="7"/>
        <v>0</v>
      </c>
      <c r="BF47" s="3">
        <f t="shared" si="7"/>
        <v>0</v>
      </c>
      <c r="BG47" s="3">
        <f t="shared" si="7"/>
        <v>0</v>
      </c>
      <c r="BH47" s="3">
        <f t="shared" si="7"/>
        <v>0</v>
      </c>
      <c r="BI47" s="3">
        <f t="shared" si="7"/>
        <v>0</v>
      </c>
      <c r="BJ47" s="3">
        <f t="shared" si="7"/>
        <v>0</v>
      </c>
    </row>
    <row r="48" spans="2:62" x14ac:dyDescent="0.15">
      <c r="D48" s="11" t="str">
        <f>Вводные!$D$185</f>
        <v>Ежемесячный расход на цели 6</v>
      </c>
      <c r="E48" s="12" t="s">
        <v>110</v>
      </c>
      <c r="I48" s="20">
        <f>Вводные!F185 * Вводные!$F$12</f>
        <v>0</v>
      </c>
      <c r="J48" s="3">
        <f t="shared" ref="J48:BJ48" si="8">$I48 * J60 * J18</f>
        <v>0</v>
      </c>
      <c r="K48" s="3">
        <f t="shared" si="8"/>
        <v>0</v>
      </c>
      <c r="L48" s="3">
        <f t="shared" si="8"/>
        <v>0</v>
      </c>
      <c r="M48" s="3">
        <f t="shared" si="8"/>
        <v>0</v>
      </c>
      <c r="N48" s="3">
        <f t="shared" si="8"/>
        <v>0</v>
      </c>
      <c r="O48" s="3">
        <f t="shared" si="8"/>
        <v>0</v>
      </c>
      <c r="P48" s="3">
        <f t="shared" si="8"/>
        <v>0</v>
      </c>
      <c r="Q48" s="3">
        <f t="shared" si="8"/>
        <v>0</v>
      </c>
      <c r="R48" s="3">
        <f t="shared" si="8"/>
        <v>0</v>
      </c>
      <c r="S48" s="3">
        <f t="shared" si="8"/>
        <v>0</v>
      </c>
      <c r="T48" s="3">
        <f t="shared" si="8"/>
        <v>0</v>
      </c>
      <c r="U48" s="3">
        <f t="shared" si="8"/>
        <v>0</v>
      </c>
      <c r="V48" s="3">
        <f t="shared" si="8"/>
        <v>0</v>
      </c>
      <c r="W48" s="3">
        <f t="shared" si="8"/>
        <v>0</v>
      </c>
      <c r="X48" s="3">
        <f t="shared" si="8"/>
        <v>0</v>
      </c>
      <c r="Y48" s="3">
        <f t="shared" si="8"/>
        <v>0</v>
      </c>
      <c r="Z48" s="3">
        <f t="shared" si="8"/>
        <v>0</v>
      </c>
      <c r="AA48" s="3">
        <f t="shared" si="8"/>
        <v>0</v>
      </c>
      <c r="AB48" s="3">
        <f t="shared" si="8"/>
        <v>0</v>
      </c>
      <c r="AC48" s="3">
        <f t="shared" si="8"/>
        <v>0</v>
      </c>
      <c r="AD48" s="3">
        <f t="shared" si="8"/>
        <v>0</v>
      </c>
      <c r="AE48" s="3">
        <f t="shared" si="8"/>
        <v>0</v>
      </c>
      <c r="AF48" s="3">
        <f t="shared" si="8"/>
        <v>0</v>
      </c>
      <c r="AG48" s="3">
        <f t="shared" si="8"/>
        <v>0</v>
      </c>
      <c r="AH48" s="3">
        <f t="shared" si="8"/>
        <v>0</v>
      </c>
      <c r="AI48" s="3">
        <f t="shared" si="8"/>
        <v>0</v>
      </c>
      <c r="AJ48" s="3">
        <f t="shared" si="8"/>
        <v>0</v>
      </c>
      <c r="AK48" s="3">
        <f t="shared" si="8"/>
        <v>0</v>
      </c>
      <c r="AL48" s="3">
        <f t="shared" si="8"/>
        <v>0</v>
      </c>
      <c r="AM48" s="3">
        <f t="shared" si="8"/>
        <v>0</v>
      </c>
      <c r="AN48" s="3">
        <f t="shared" si="8"/>
        <v>0</v>
      </c>
      <c r="AO48" s="3">
        <f t="shared" si="8"/>
        <v>0</v>
      </c>
      <c r="AP48" s="3">
        <f t="shared" si="8"/>
        <v>0</v>
      </c>
      <c r="AQ48" s="3">
        <f t="shared" si="8"/>
        <v>0</v>
      </c>
      <c r="AR48" s="3">
        <f t="shared" si="8"/>
        <v>0</v>
      </c>
      <c r="AS48" s="3">
        <f t="shared" si="8"/>
        <v>0</v>
      </c>
      <c r="AT48" s="3">
        <f t="shared" si="8"/>
        <v>0</v>
      </c>
      <c r="AU48" s="3">
        <f t="shared" si="8"/>
        <v>0</v>
      </c>
      <c r="AV48" s="3">
        <f t="shared" si="8"/>
        <v>0</v>
      </c>
      <c r="AW48" s="3">
        <f t="shared" si="8"/>
        <v>0</v>
      </c>
      <c r="AX48" s="3">
        <f t="shared" si="8"/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3">
        <f t="shared" si="8"/>
        <v>0</v>
      </c>
      <c r="BC48" s="3">
        <f t="shared" si="8"/>
        <v>0</v>
      </c>
      <c r="BD48" s="3">
        <f t="shared" si="8"/>
        <v>0</v>
      </c>
      <c r="BE48" s="3">
        <f t="shared" si="8"/>
        <v>0</v>
      </c>
      <c r="BF48" s="3">
        <f t="shared" si="8"/>
        <v>0</v>
      </c>
      <c r="BG48" s="3">
        <f t="shared" si="8"/>
        <v>0</v>
      </c>
      <c r="BH48" s="3">
        <f t="shared" si="8"/>
        <v>0</v>
      </c>
      <c r="BI48" s="3">
        <f t="shared" si="8"/>
        <v>0</v>
      </c>
      <c r="BJ48" s="3">
        <f t="shared" si="8"/>
        <v>0</v>
      </c>
    </row>
    <row r="49" spans="4:62" x14ac:dyDescent="0.15">
      <c r="D49" s="11" t="str">
        <f>Вводные!$D$186</f>
        <v>Ежемесячный расход на цели 7</v>
      </c>
      <c r="E49" s="12" t="s">
        <v>110</v>
      </c>
      <c r="I49" s="20">
        <f>Вводные!F186 * Вводные!$F$12</f>
        <v>0</v>
      </c>
      <c r="J49" s="3">
        <f t="shared" ref="J49:BJ49" si="9">$I49 * J61 * J19</f>
        <v>0</v>
      </c>
      <c r="K49" s="3">
        <f t="shared" si="9"/>
        <v>0</v>
      </c>
      <c r="L49" s="3">
        <f t="shared" si="9"/>
        <v>0</v>
      </c>
      <c r="M49" s="3">
        <f t="shared" si="9"/>
        <v>0</v>
      </c>
      <c r="N49" s="3">
        <f t="shared" si="9"/>
        <v>0</v>
      </c>
      <c r="O49" s="3">
        <f t="shared" si="9"/>
        <v>0</v>
      </c>
      <c r="P49" s="3">
        <f t="shared" si="9"/>
        <v>0</v>
      </c>
      <c r="Q49" s="3">
        <f t="shared" si="9"/>
        <v>0</v>
      </c>
      <c r="R49" s="3">
        <f t="shared" si="9"/>
        <v>0</v>
      </c>
      <c r="S49" s="3">
        <f t="shared" si="9"/>
        <v>0</v>
      </c>
      <c r="T49" s="3">
        <f t="shared" si="9"/>
        <v>0</v>
      </c>
      <c r="U49" s="3">
        <f t="shared" si="9"/>
        <v>0</v>
      </c>
      <c r="V49" s="3">
        <f t="shared" si="9"/>
        <v>0</v>
      </c>
      <c r="W49" s="3">
        <f t="shared" si="9"/>
        <v>0</v>
      </c>
      <c r="X49" s="3">
        <f t="shared" si="9"/>
        <v>0</v>
      </c>
      <c r="Y49" s="3">
        <f t="shared" si="9"/>
        <v>0</v>
      </c>
      <c r="Z49" s="3">
        <f t="shared" si="9"/>
        <v>0</v>
      </c>
      <c r="AA49" s="3">
        <f t="shared" si="9"/>
        <v>0</v>
      </c>
      <c r="AB49" s="3">
        <f t="shared" si="9"/>
        <v>0</v>
      </c>
      <c r="AC49" s="3">
        <f t="shared" si="9"/>
        <v>0</v>
      </c>
      <c r="AD49" s="3">
        <f t="shared" si="9"/>
        <v>0</v>
      </c>
      <c r="AE49" s="3">
        <f t="shared" si="9"/>
        <v>0</v>
      </c>
      <c r="AF49" s="3">
        <f t="shared" si="9"/>
        <v>0</v>
      </c>
      <c r="AG49" s="3">
        <f t="shared" si="9"/>
        <v>0</v>
      </c>
      <c r="AH49" s="3">
        <f t="shared" si="9"/>
        <v>0</v>
      </c>
      <c r="AI49" s="3">
        <f t="shared" si="9"/>
        <v>0</v>
      </c>
      <c r="AJ49" s="3">
        <f t="shared" si="9"/>
        <v>0</v>
      </c>
      <c r="AK49" s="3">
        <f t="shared" si="9"/>
        <v>0</v>
      </c>
      <c r="AL49" s="3">
        <f t="shared" si="9"/>
        <v>0</v>
      </c>
      <c r="AM49" s="3">
        <f t="shared" si="9"/>
        <v>0</v>
      </c>
      <c r="AN49" s="3">
        <f t="shared" si="9"/>
        <v>0</v>
      </c>
      <c r="AO49" s="3">
        <f t="shared" si="9"/>
        <v>0</v>
      </c>
      <c r="AP49" s="3">
        <f t="shared" si="9"/>
        <v>0</v>
      </c>
      <c r="AQ49" s="3">
        <f t="shared" si="9"/>
        <v>0</v>
      </c>
      <c r="AR49" s="3">
        <f t="shared" si="9"/>
        <v>0</v>
      </c>
      <c r="AS49" s="3">
        <f t="shared" si="9"/>
        <v>0</v>
      </c>
      <c r="AT49" s="3">
        <f t="shared" si="9"/>
        <v>0</v>
      </c>
      <c r="AU49" s="3">
        <f t="shared" si="9"/>
        <v>0</v>
      </c>
      <c r="AV49" s="3">
        <f t="shared" si="9"/>
        <v>0</v>
      </c>
      <c r="AW49" s="3">
        <f t="shared" si="9"/>
        <v>0</v>
      </c>
      <c r="AX49" s="3">
        <f t="shared" si="9"/>
        <v>0</v>
      </c>
      <c r="AY49" s="3">
        <f t="shared" si="9"/>
        <v>0</v>
      </c>
      <c r="AZ49" s="3">
        <f t="shared" si="9"/>
        <v>0</v>
      </c>
      <c r="BA49" s="3">
        <f t="shared" si="9"/>
        <v>0</v>
      </c>
      <c r="BB49" s="3">
        <f t="shared" si="9"/>
        <v>0</v>
      </c>
      <c r="BC49" s="3">
        <f t="shared" si="9"/>
        <v>0</v>
      </c>
      <c r="BD49" s="3">
        <f t="shared" si="9"/>
        <v>0</v>
      </c>
      <c r="BE49" s="3">
        <f t="shared" si="9"/>
        <v>0</v>
      </c>
      <c r="BF49" s="3">
        <f t="shared" si="9"/>
        <v>0</v>
      </c>
      <c r="BG49" s="3">
        <f t="shared" si="9"/>
        <v>0</v>
      </c>
      <c r="BH49" s="3">
        <f t="shared" si="9"/>
        <v>0</v>
      </c>
      <c r="BI49" s="3">
        <f t="shared" si="9"/>
        <v>0</v>
      </c>
      <c r="BJ49" s="3">
        <f t="shared" si="9"/>
        <v>0</v>
      </c>
    </row>
    <row r="50" spans="4:62" x14ac:dyDescent="0.15">
      <c r="D50" s="11" t="str">
        <f>Вводные!$D$187</f>
        <v>Ежемесячный расход на цели 8</v>
      </c>
      <c r="E50" s="12" t="s">
        <v>110</v>
      </c>
      <c r="I50" s="20">
        <f>Вводные!F187 * Вводные!$F$12</f>
        <v>0</v>
      </c>
      <c r="J50" s="3">
        <f t="shared" ref="J50:BJ50" si="10">$I50 * J62 * J20</f>
        <v>0</v>
      </c>
      <c r="K50" s="3">
        <f t="shared" si="10"/>
        <v>0</v>
      </c>
      <c r="L50" s="3">
        <f t="shared" si="10"/>
        <v>0</v>
      </c>
      <c r="M50" s="3">
        <f t="shared" si="10"/>
        <v>0</v>
      </c>
      <c r="N50" s="3">
        <f t="shared" si="10"/>
        <v>0</v>
      </c>
      <c r="O50" s="3">
        <f t="shared" si="10"/>
        <v>0</v>
      </c>
      <c r="P50" s="3">
        <f t="shared" si="10"/>
        <v>0</v>
      </c>
      <c r="Q50" s="3">
        <f t="shared" si="10"/>
        <v>0</v>
      </c>
      <c r="R50" s="3">
        <f t="shared" si="10"/>
        <v>0</v>
      </c>
      <c r="S50" s="3">
        <f t="shared" si="10"/>
        <v>0</v>
      </c>
      <c r="T50" s="3">
        <f t="shared" si="10"/>
        <v>0</v>
      </c>
      <c r="U50" s="3">
        <f t="shared" si="10"/>
        <v>0</v>
      </c>
      <c r="V50" s="3">
        <f t="shared" si="10"/>
        <v>0</v>
      </c>
      <c r="W50" s="3">
        <f t="shared" si="10"/>
        <v>0</v>
      </c>
      <c r="X50" s="3">
        <f t="shared" si="10"/>
        <v>0</v>
      </c>
      <c r="Y50" s="3">
        <f t="shared" si="10"/>
        <v>0</v>
      </c>
      <c r="Z50" s="3">
        <f t="shared" si="10"/>
        <v>0</v>
      </c>
      <c r="AA50" s="3">
        <f t="shared" si="10"/>
        <v>0</v>
      </c>
      <c r="AB50" s="3">
        <f t="shared" si="10"/>
        <v>0</v>
      </c>
      <c r="AC50" s="3">
        <f t="shared" si="10"/>
        <v>0</v>
      </c>
      <c r="AD50" s="3">
        <f t="shared" si="10"/>
        <v>0</v>
      </c>
      <c r="AE50" s="3">
        <f t="shared" si="10"/>
        <v>0</v>
      </c>
      <c r="AF50" s="3">
        <f t="shared" si="10"/>
        <v>0</v>
      </c>
      <c r="AG50" s="3">
        <f t="shared" si="10"/>
        <v>0</v>
      </c>
      <c r="AH50" s="3">
        <f t="shared" si="10"/>
        <v>0</v>
      </c>
      <c r="AI50" s="3">
        <f t="shared" si="10"/>
        <v>0</v>
      </c>
      <c r="AJ50" s="3">
        <f t="shared" si="10"/>
        <v>0</v>
      </c>
      <c r="AK50" s="3">
        <f t="shared" si="10"/>
        <v>0</v>
      </c>
      <c r="AL50" s="3">
        <f t="shared" si="10"/>
        <v>0</v>
      </c>
      <c r="AM50" s="3">
        <f t="shared" si="10"/>
        <v>0</v>
      </c>
      <c r="AN50" s="3">
        <f t="shared" si="10"/>
        <v>0</v>
      </c>
      <c r="AO50" s="3">
        <f t="shared" si="10"/>
        <v>0</v>
      </c>
      <c r="AP50" s="3">
        <f t="shared" si="10"/>
        <v>0</v>
      </c>
      <c r="AQ50" s="3">
        <f t="shared" si="10"/>
        <v>0</v>
      </c>
      <c r="AR50" s="3">
        <f t="shared" si="10"/>
        <v>0</v>
      </c>
      <c r="AS50" s="3">
        <f t="shared" si="10"/>
        <v>0</v>
      </c>
      <c r="AT50" s="3">
        <f t="shared" si="10"/>
        <v>0</v>
      </c>
      <c r="AU50" s="3">
        <f t="shared" si="10"/>
        <v>0</v>
      </c>
      <c r="AV50" s="3">
        <f t="shared" si="10"/>
        <v>0</v>
      </c>
      <c r="AW50" s="3">
        <f t="shared" si="10"/>
        <v>0</v>
      </c>
      <c r="AX50" s="3">
        <f t="shared" si="10"/>
        <v>0</v>
      </c>
      <c r="AY50" s="3">
        <f t="shared" si="10"/>
        <v>0</v>
      </c>
      <c r="AZ50" s="3">
        <f t="shared" si="10"/>
        <v>0</v>
      </c>
      <c r="BA50" s="3">
        <f t="shared" si="10"/>
        <v>0</v>
      </c>
      <c r="BB50" s="3">
        <f t="shared" si="10"/>
        <v>0</v>
      </c>
      <c r="BC50" s="3">
        <f t="shared" si="10"/>
        <v>0</v>
      </c>
      <c r="BD50" s="3">
        <f t="shared" si="10"/>
        <v>0</v>
      </c>
      <c r="BE50" s="3">
        <f t="shared" si="10"/>
        <v>0</v>
      </c>
      <c r="BF50" s="3">
        <f t="shared" si="10"/>
        <v>0</v>
      </c>
      <c r="BG50" s="3">
        <f t="shared" si="10"/>
        <v>0</v>
      </c>
      <c r="BH50" s="3">
        <f t="shared" si="10"/>
        <v>0</v>
      </c>
      <c r="BI50" s="3">
        <f t="shared" si="10"/>
        <v>0</v>
      </c>
      <c r="BJ50" s="3">
        <f t="shared" si="10"/>
        <v>0</v>
      </c>
    </row>
    <row r="51" spans="4:62" x14ac:dyDescent="0.15">
      <c r="D51" s="11" t="str">
        <f>Вводные!$D$188</f>
        <v>Ежемесячный расход на цели 9</v>
      </c>
      <c r="E51" s="12" t="s">
        <v>110</v>
      </c>
      <c r="I51" s="20">
        <f>Вводные!F188 * Вводные!$F$12</f>
        <v>0</v>
      </c>
      <c r="J51" s="3">
        <f t="shared" ref="J51:BJ51" si="11">$I51 * J63 * J21</f>
        <v>0</v>
      </c>
      <c r="K51" s="3">
        <f t="shared" si="11"/>
        <v>0</v>
      </c>
      <c r="L51" s="3">
        <f t="shared" si="11"/>
        <v>0</v>
      </c>
      <c r="M51" s="3">
        <f t="shared" si="11"/>
        <v>0</v>
      </c>
      <c r="N51" s="3">
        <f t="shared" si="11"/>
        <v>0</v>
      </c>
      <c r="O51" s="3">
        <f t="shared" si="11"/>
        <v>0</v>
      </c>
      <c r="P51" s="3">
        <f t="shared" si="11"/>
        <v>0</v>
      </c>
      <c r="Q51" s="3">
        <f t="shared" si="11"/>
        <v>0</v>
      </c>
      <c r="R51" s="3">
        <f t="shared" si="11"/>
        <v>0</v>
      </c>
      <c r="S51" s="3">
        <f t="shared" si="11"/>
        <v>0</v>
      </c>
      <c r="T51" s="3">
        <f t="shared" si="11"/>
        <v>0</v>
      </c>
      <c r="U51" s="3">
        <f t="shared" si="11"/>
        <v>0</v>
      </c>
      <c r="V51" s="3">
        <f t="shared" si="11"/>
        <v>0</v>
      </c>
      <c r="W51" s="3">
        <f t="shared" si="11"/>
        <v>0</v>
      </c>
      <c r="X51" s="3">
        <f t="shared" si="11"/>
        <v>0</v>
      </c>
      <c r="Y51" s="3">
        <f t="shared" si="11"/>
        <v>0</v>
      </c>
      <c r="Z51" s="3">
        <f t="shared" si="11"/>
        <v>0</v>
      </c>
      <c r="AA51" s="3">
        <f t="shared" si="11"/>
        <v>0</v>
      </c>
      <c r="AB51" s="3">
        <f t="shared" si="11"/>
        <v>0</v>
      </c>
      <c r="AC51" s="3">
        <f t="shared" si="11"/>
        <v>0</v>
      </c>
      <c r="AD51" s="3">
        <f t="shared" si="11"/>
        <v>0</v>
      </c>
      <c r="AE51" s="3">
        <f t="shared" si="11"/>
        <v>0</v>
      </c>
      <c r="AF51" s="3">
        <f t="shared" si="11"/>
        <v>0</v>
      </c>
      <c r="AG51" s="3">
        <f t="shared" si="11"/>
        <v>0</v>
      </c>
      <c r="AH51" s="3">
        <f t="shared" si="11"/>
        <v>0</v>
      </c>
      <c r="AI51" s="3">
        <f t="shared" si="11"/>
        <v>0</v>
      </c>
      <c r="AJ51" s="3">
        <f t="shared" si="11"/>
        <v>0</v>
      </c>
      <c r="AK51" s="3">
        <f t="shared" si="11"/>
        <v>0</v>
      </c>
      <c r="AL51" s="3">
        <f t="shared" si="11"/>
        <v>0</v>
      </c>
      <c r="AM51" s="3">
        <f t="shared" si="11"/>
        <v>0</v>
      </c>
      <c r="AN51" s="3">
        <f t="shared" si="11"/>
        <v>0</v>
      </c>
      <c r="AO51" s="3">
        <f t="shared" si="11"/>
        <v>0</v>
      </c>
      <c r="AP51" s="3">
        <f t="shared" si="11"/>
        <v>0</v>
      </c>
      <c r="AQ51" s="3">
        <f t="shared" si="11"/>
        <v>0</v>
      </c>
      <c r="AR51" s="3">
        <f t="shared" si="11"/>
        <v>0</v>
      </c>
      <c r="AS51" s="3">
        <f t="shared" si="11"/>
        <v>0</v>
      </c>
      <c r="AT51" s="3">
        <f t="shared" si="11"/>
        <v>0</v>
      </c>
      <c r="AU51" s="3">
        <f t="shared" si="11"/>
        <v>0</v>
      </c>
      <c r="AV51" s="3">
        <f t="shared" si="11"/>
        <v>0</v>
      </c>
      <c r="AW51" s="3">
        <f t="shared" si="11"/>
        <v>0</v>
      </c>
      <c r="AX51" s="3">
        <f t="shared" si="11"/>
        <v>0</v>
      </c>
      <c r="AY51" s="3">
        <f t="shared" si="11"/>
        <v>0</v>
      </c>
      <c r="AZ51" s="3">
        <f t="shared" si="11"/>
        <v>0</v>
      </c>
      <c r="BA51" s="3">
        <f t="shared" si="11"/>
        <v>0</v>
      </c>
      <c r="BB51" s="3">
        <f t="shared" si="11"/>
        <v>0</v>
      </c>
      <c r="BC51" s="3">
        <f t="shared" si="11"/>
        <v>0</v>
      </c>
      <c r="BD51" s="3">
        <f t="shared" si="11"/>
        <v>0</v>
      </c>
      <c r="BE51" s="3">
        <f t="shared" si="11"/>
        <v>0</v>
      </c>
      <c r="BF51" s="3">
        <f t="shared" si="11"/>
        <v>0</v>
      </c>
      <c r="BG51" s="3">
        <f t="shared" si="11"/>
        <v>0</v>
      </c>
      <c r="BH51" s="3">
        <f t="shared" si="11"/>
        <v>0</v>
      </c>
      <c r="BI51" s="3">
        <f t="shared" si="11"/>
        <v>0</v>
      </c>
      <c r="BJ51" s="3">
        <f t="shared" si="11"/>
        <v>0</v>
      </c>
    </row>
    <row r="52" spans="4:62" x14ac:dyDescent="0.15">
      <c r="D52" s="11" t="str">
        <f>Вводные!$D$189</f>
        <v>Ежемесячный расход на цели 10</v>
      </c>
      <c r="E52" s="12" t="s">
        <v>110</v>
      </c>
      <c r="I52" s="20">
        <f>Вводные!F189 * Вводные!$F$12</f>
        <v>0</v>
      </c>
      <c r="J52" s="3">
        <f t="shared" ref="J52:BJ52" si="12">$I52 * J64 * J22</f>
        <v>0</v>
      </c>
      <c r="K52" s="3">
        <f t="shared" si="12"/>
        <v>0</v>
      </c>
      <c r="L52" s="3">
        <f t="shared" si="12"/>
        <v>0</v>
      </c>
      <c r="M52" s="3">
        <f t="shared" si="12"/>
        <v>0</v>
      </c>
      <c r="N52" s="3">
        <f t="shared" si="12"/>
        <v>0</v>
      </c>
      <c r="O52" s="3">
        <f t="shared" si="12"/>
        <v>0</v>
      </c>
      <c r="P52" s="3">
        <f t="shared" si="12"/>
        <v>0</v>
      </c>
      <c r="Q52" s="3">
        <f t="shared" si="12"/>
        <v>0</v>
      </c>
      <c r="R52" s="3">
        <f t="shared" si="12"/>
        <v>0</v>
      </c>
      <c r="S52" s="3">
        <f t="shared" si="12"/>
        <v>0</v>
      </c>
      <c r="T52" s="3">
        <f t="shared" si="12"/>
        <v>0</v>
      </c>
      <c r="U52" s="3">
        <f t="shared" si="12"/>
        <v>0</v>
      </c>
      <c r="V52" s="3">
        <f t="shared" si="12"/>
        <v>0</v>
      </c>
      <c r="W52" s="3">
        <f t="shared" si="12"/>
        <v>0</v>
      </c>
      <c r="X52" s="3">
        <f t="shared" si="12"/>
        <v>0</v>
      </c>
      <c r="Y52" s="3">
        <f t="shared" si="12"/>
        <v>0</v>
      </c>
      <c r="Z52" s="3">
        <f t="shared" si="12"/>
        <v>0</v>
      </c>
      <c r="AA52" s="3">
        <f t="shared" si="12"/>
        <v>0</v>
      </c>
      <c r="AB52" s="3">
        <f t="shared" si="12"/>
        <v>0</v>
      </c>
      <c r="AC52" s="3">
        <f t="shared" si="12"/>
        <v>0</v>
      </c>
      <c r="AD52" s="3">
        <f t="shared" si="12"/>
        <v>0</v>
      </c>
      <c r="AE52" s="3">
        <f t="shared" si="12"/>
        <v>0</v>
      </c>
      <c r="AF52" s="3">
        <f t="shared" si="12"/>
        <v>0</v>
      </c>
      <c r="AG52" s="3">
        <f t="shared" si="12"/>
        <v>0</v>
      </c>
      <c r="AH52" s="3">
        <f t="shared" si="12"/>
        <v>0</v>
      </c>
      <c r="AI52" s="3">
        <f t="shared" si="12"/>
        <v>0</v>
      </c>
      <c r="AJ52" s="3">
        <f t="shared" si="12"/>
        <v>0</v>
      </c>
      <c r="AK52" s="3">
        <f t="shared" si="12"/>
        <v>0</v>
      </c>
      <c r="AL52" s="3">
        <f t="shared" si="12"/>
        <v>0</v>
      </c>
      <c r="AM52" s="3">
        <f t="shared" si="12"/>
        <v>0</v>
      </c>
      <c r="AN52" s="3">
        <f t="shared" si="12"/>
        <v>0</v>
      </c>
      <c r="AO52" s="3">
        <f t="shared" si="12"/>
        <v>0</v>
      </c>
      <c r="AP52" s="3">
        <f t="shared" si="12"/>
        <v>0</v>
      </c>
      <c r="AQ52" s="3">
        <f t="shared" si="12"/>
        <v>0</v>
      </c>
      <c r="AR52" s="3">
        <f t="shared" si="12"/>
        <v>0</v>
      </c>
      <c r="AS52" s="3">
        <f t="shared" si="12"/>
        <v>0</v>
      </c>
      <c r="AT52" s="3">
        <f t="shared" si="12"/>
        <v>0</v>
      </c>
      <c r="AU52" s="3">
        <f t="shared" si="12"/>
        <v>0</v>
      </c>
      <c r="AV52" s="3">
        <f t="shared" si="12"/>
        <v>0</v>
      </c>
      <c r="AW52" s="3">
        <f t="shared" si="12"/>
        <v>0</v>
      </c>
      <c r="AX52" s="3">
        <f t="shared" si="12"/>
        <v>0</v>
      </c>
      <c r="AY52" s="3">
        <f t="shared" si="12"/>
        <v>0</v>
      </c>
      <c r="AZ52" s="3">
        <f t="shared" si="12"/>
        <v>0</v>
      </c>
      <c r="BA52" s="3">
        <f t="shared" si="12"/>
        <v>0</v>
      </c>
      <c r="BB52" s="3">
        <f t="shared" si="12"/>
        <v>0</v>
      </c>
      <c r="BC52" s="3">
        <f t="shared" si="12"/>
        <v>0</v>
      </c>
      <c r="BD52" s="3">
        <f t="shared" si="12"/>
        <v>0</v>
      </c>
      <c r="BE52" s="3">
        <f t="shared" si="12"/>
        <v>0</v>
      </c>
      <c r="BF52" s="3">
        <f t="shared" si="12"/>
        <v>0</v>
      </c>
      <c r="BG52" s="3">
        <f t="shared" si="12"/>
        <v>0</v>
      </c>
      <c r="BH52" s="3">
        <f t="shared" si="12"/>
        <v>0</v>
      </c>
      <c r="BI52" s="3">
        <f t="shared" si="12"/>
        <v>0</v>
      </c>
      <c r="BJ52" s="3">
        <f t="shared" si="12"/>
        <v>0</v>
      </c>
    </row>
    <row r="53" spans="4:62" x14ac:dyDescent="0.15">
      <c r="E53" s="12"/>
    </row>
    <row r="54" spans="4:62" x14ac:dyDescent="0.15">
      <c r="D54" s="8" t="s">
        <v>11</v>
      </c>
      <c r="E54" s="12"/>
    </row>
    <row r="55" spans="4:62" x14ac:dyDescent="0.15">
      <c r="D55" s="9" t="str">
        <f>Вводные!$D$192</f>
        <v>Темп роста Ежемесячный расход на цели 1</v>
      </c>
      <c r="E55" s="12" t="s">
        <v>4</v>
      </c>
      <c r="I55" s="23">
        <v>1</v>
      </c>
      <c r="J55" s="5">
        <f>I55*(1+Вводные!J192)</f>
        <v>1</v>
      </c>
      <c r="K55" s="5">
        <f>J55*(1+Вводные!K192)</f>
        <v>1.03</v>
      </c>
      <c r="L55" s="5">
        <f>K55*(1+Вводные!L192)</f>
        <v>1.0609</v>
      </c>
      <c r="M55" s="5">
        <f>L55*(1+Вводные!M192)</f>
        <v>1.092727</v>
      </c>
      <c r="N55" s="5">
        <f>M55*(1+Вводные!N192)</f>
        <v>1.1255088100000001</v>
      </c>
      <c r="O55" s="5">
        <f>N55*(1+Вводные!O192)</f>
        <v>1.1592740743000001</v>
      </c>
      <c r="P55" s="5">
        <f>O55*(1+Вводные!P192)</f>
        <v>1.1940522965290001</v>
      </c>
      <c r="Q55" s="5">
        <f>P55*(1+Вводные!Q192)</f>
        <v>1.2298738654248702</v>
      </c>
      <c r="R55" s="5">
        <f>Q55*(1+Вводные!R192)</f>
        <v>1.2667700813876164</v>
      </c>
      <c r="S55" s="5">
        <f>R55*(1+Вводные!S192)</f>
        <v>1.3047731838292449</v>
      </c>
      <c r="T55" s="5">
        <f>S55*(1+Вводные!T192)</f>
        <v>1.3439163793441222</v>
      </c>
      <c r="U55" s="5">
        <f>T55*(1+Вводные!U192)</f>
        <v>1.3842338707244459</v>
      </c>
      <c r="V55" s="5">
        <f>U55*(1+Вводные!V192)</f>
        <v>1.4257608868461793</v>
      </c>
      <c r="W55" s="5">
        <f>V55*(1+Вводные!W192)</f>
        <v>1.4685337134515648</v>
      </c>
      <c r="X55" s="5">
        <f>W55*(1+Вводные!X192)</f>
        <v>1.5125897248551119</v>
      </c>
      <c r="Y55" s="5">
        <f>X55*(1+Вводные!Y192)</f>
        <v>1.5579674166007653</v>
      </c>
      <c r="Z55" s="5">
        <f>Y55*(1+Вводные!Z192)</f>
        <v>1.6047064390987884</v>
      </c>
      <c r="AA55" s="5">
        <f>Z55*(1+Вводные!AA192)</f>
        <v>1.652847632271752</v>
      </c>
      <c r="AB55" s="5">
        <f>AA55*(1+Вводные!AB192)</f>
        <v>1.7024330612399046</v>
      </c>
      <c r="AC55" s="5">
        <f>AB55*(1+Вводные!AC192)</f>
        <v>1.7535060530771018</v>
      </c>
      <c r="AD55" s="5">
        <f>AC55*(1+Вводные!AD192)</f>
        <v>1.806111234669415</v>
      </c>
      <c r="AE55" s="5">
        <f>AD55*(1+Вводные!AE192)</f>
        <v>1.8602945717094976</v>
      </c>
      <c r="AF55" s="5">
        <f>AE55*(1+Вводные!AF192)</f>
        <v>1.9161034088607827</v>
      </c>
      <c r="AG55" s="5">
        <f>AF55*(1+Вводные!AG192)</f>
        <v>1.9735865111266062</v>
      </c>
      <c r="AH55" s="5">
        <f>AG55*(1+Вводные!AH192)</f>
        <v>2.0327941064604045</v>
      </c>
      <c r="AI55" s="5">
        <f>AH55*(1+Вводные!AI192)</f>
        <v>2.0937779296542165</v>
      </c>
      <c r="AJ55" s="5">
        <f>AI55*(1+Вводные!AJ192)</f>
        <v>2.1565912675438432</v>
      </c>
      <c r="AK55" s="5">
        <f>AJ55*(1+Вводные!AK192)</f>
        <v>2.2212890055701586</v>
      </c>
      <c r="AL55" s="5">
        <f>AK55*(1+Вводные!AL192)</f>
        <v>2.2879276757372633</v>
      </c>
      <c r="AM55" s="5">
        <f>AL55*(1+Вводные!AM192)</f>
        <v>2.3565655060093813</v>
      </c>
      <c r="AN55" s="5">
        <f>AM55*(1+Вводные!AN192)</f>
        <v>2.4272624711896627</v>
      </c>
      <c r="AO55" s="5">
        <f>AN55*(1+Вводные!AO192)</f>
        <v>2.5000803453253524</v>
      </c>
      <c r="AP55" s="5">
        <f>AO55*(1+Вводные!AP192)</f>
        <v>2.5750827556851132</v>
      </c>
      <c r="AQ55" s="5">
        <f>AP55*(1+Вводные!AQ192)</f>
        <v>2.6523352383556666</v>
      </c>
      <c r="AR55" s="5">
        <f>AQ55*(1+Вводные!AR192)</f>
        <v>2.7319052955063365</v>
      </c>
      <c r="AS55" s="5">
        <f>AR55*(1+Вводные!AS192)</f>
        <v>2.8138624543715265</v>
      </c>
      <c r="AT55" s="5">
        <f>AS55*(1+Вводные!AT192)</f>
        <v>2.8982783280026725</v>
      </c>
      <c r="AU55" s="5">
        <f>AT55*(1+Вводные!AU192)</f>
        <v>2.9852266778427525</v>
      </c>
      <c r="AV55" s="5">
        <f>AU55*(1+Вводные!AV192)</f>
        <v>3.074783478178035</v>
      </c>
      <c r="AW55" s="5">
        <f>AV55*(1+Вводные!AW192)</f>
        <v>3.1670269825233763</v>
      </c>
      <c r="AX55" s="5">
        <f>AW55*(1+Вводные!AX192)</f>
        <v>3.2620377919990777</v>
      </c>
      <c r="AY55" s="5">
        <f>AX55*(1+Вводные!AY192)</f>
        <v>3.3598989257590501</v>
      </c>
      <c r="AZ55" s="5">
        <f>AY55*(1+Вводные!AZ192)</f>
        <v>3.4606958935318217</v>
      </c>
      <c r="BA55" s="5">
        <f>AZ55*(1+Вводные!BA192)</f>
        <v>3.5645167703377765</v>
      </c>
      <c r="BB55" s="5">
        <f>BA55*(1+Вводные!BB192)</f>
        <v>3.67145227344791</v>
      </c>
      <c r="BC55" s="5">
        <f>BB55*(1+Вводные!BC192)</f>
        <v>3.7815958416513475</v>
      </c>
      <c r="BD55" s="5">
        <f>BC55*(1+Вводные!BD192)</f>
        <v>3.8950437169008882</v>
      </c>
      <c r="BE55" s="5">
        <f>BD55*(1+Вводные!BE192)</f>
        <v>4.0118950284079151</v>
      </c>
      <c r="BF55" s="5">
        <f>BE55*(1+Вводные!BF192)</f>
        <v>4.1322518792601528</v>
      </c>
      <c r="BG55" s="5">
        <f>BF55*(1+Вводные!BG192)</f>
        <v>4.2562194356379575</v>
      </c>
      <c r="BH55" s="5">
        <f>BG55*(1+Вводные!BH192)</f>
        <v>4.383906018707096</v>
      </c>
      <c r="BI55" s="5">
        <f>BH55*(1+Вводные!BI192)</f>
        <v>4.5154231992683087</v>
      </c>
      <c r="BJ55" s="5">
        <f>BI55*(1+Вводные!BJ192)</f>
        <v>4.6508858952463576</v>
      </c>
    </row>
    <row r="56" spans="4:62" x14ac:dyDescent="0.15">
      <c r="D56" s="9" t="str">
        <f>Вводные!$D$193</f>
        <v>Темп роста Ежемесячный расход на цели 2</v>
      </c>
      <c r="E56" s="12" t="s">
        <v>4</v>
      </c>
      <c r="I56" s="23">
        <v>1</v>
      </c>
      <c r="J56" s="5">
        <f>I56*(1+Вводные!J193)</f>
        <v>1</v>
      </c>
      <c r="K56" s="5">
        <f>J56*(1+Вводные!K193)</f>
        <v>1.03</v>
      </c>
      <c r="L56" s="5">
        <f>K56*(1+Вводные!L193)</f>
        <v>1.0609</v>
      </c>
      <c r="M56" s="5">
        <f>L56*(1+Вводные!M193)</f>
        <v>1.092727</v>
      </c>
      <c r="N56" s="5">
        <f>M56*(1+Вводные!N193)</f>
        <v>1.1255088100000001</v>
      </c>
      <c r="O56" s="5">
        <f>N56*(1+Вводные!O193)</f>
        <v>1.1592740743000001</v>
      </c>
      <c r="P56" s="5">
        <f>O56*(1+Вводные!P193)</f>
        <v>1.1940522965290001</v>
      </c>
      <c r="Q56" s="5">
        <f>P56*(1+Вводные!Q193)</f>
        <v>1.2298738654248702</v>
      </c>
      <c r="R56" s="5">
        <f>Q56*(1+Вводные!R193)</f>
        <v>1.2667700813876164</v>
      </c>
      <c r="S56" s="5">
        <f>R56*(1+Вводные!S193)</f>
        <v>1.3047731838292449</v>
      </c>
      <c r="T56" s="5">
        <f>S56*(1+Вводные!T193)</f>
        <v>1.3439163793441222</v>
      </c>
      <c r="U56" s="5">
        <f>T56*(1+Вводные!U193)</f>
        <v>1.3842338707244459</v>
      </c>
      <c r="V56" s="5">
        <f>U56*(1+Вводные!V193)</f>
        <v>1.4257608868461793</v>
      </c>
      <c r="W56" s="5">
        <f>V56*(1+Вводные!W193)</f>
        <v>1.4685337134515648</v>
      </c>
      <c r="X56" s="5">
        <f>W56*(1+Вводные!X193)</f>
        <v>1.5125897248551119</v>
      </c>
      <c r="Y56" s="5">
        <f>X56*(1+Вводные!Y193)</f>
        <v>1.5579674166007653</v>
      </c>
      <c r="Z56" s="5">
        <f>Y56*(1+Вводные!Z193)</f>
        <v>1.6047064390987884</v>
      </c>
      <c r="AA56" s="5">
        <f>Z56*(1+Вводные!AA193)</f>
        <v>1.652847632271752</v>
      </c>
      <c r="AB56" s="5">
        <f>AA56*(1+Вводные!AB193)</f>
        <v>1.7024330612399046</v>
      </c>
      <c r="AC56" s="5">
        <f>AB56*(1+Вводные!AC193)</f>
        <v>1.7535060530771018</v>
      </c>
      <c r="AD56" s="5">
        <f>AC56*(1+Вводные!AD193)</f>
        <v>1.806111234669415</v>
      </c>
      <c r="AE56" s="5">
        <f>AD56*(1+Вводные!AE193)</f>
        <v>1.8602945717094976</v>
      </c>
      <c r="AF56" s="5">
        <f>AE56*(1+Вводные!AF193)</f>
        <v>1.9161034088607827</v>
      </c>
      <c r="AG56" s="5">
        <f>AF56*(1+Вводные!AG193)</f>
        <v>1.9735865111266062</v>
      </c>
      <c r="AH56" s="5">
        <f>AG56*(1+Вводные!AH193)</f>
        <v>2.0327941064604045</v>
      </c>
      <c r="AI56" s="5">
        <f>AH56*(1+Вводные!AI193)</f>
        <v>2.0937779296542165</v>
      </c>
      <c r="AJ56" s="5">
        <f>AI56*(1+Вводные!AJ193)</f>
        <v>2.1565912675438432</v>
      </c>
      <c r="AK56" s="5">
        <f>AJ56*(1+Вводные!AK193)</f>
        <v>2.2212890055701586</v>
      </c>
      <c r="AL56" s="5">
        <f>AK56*(1+Вводные!AL193)</f>
        <v>2.2879276757372633</v>
      </c>
      <c r="AM56" s="5">
        <f>AL56*(1+Вводные!AM193)</f>
        <v>2.3565655060093813</v>
      </c>
      <c r="AN56" s="5">
        <f>AM56*(1+Вводные!AN193)</f>
        <v>2.4272624711896627</v>
      </c>
      <c r="AO56" s="5">
        <f>AN56*(1+Вводные!AO193)</f>
        <v>2.5000803453253524</v>
      </c>
      <c r="AP56" s="5">
        <f>AO56*(1+Вводные!AP193)</f>
        <v>2.5750827556851132</v>
      </c>
      <c r="AQ56" s="5">
        <f>AP56*(1+Вводные!AQ193)</f>
        <v>2.6523352383556666</v>
      </c>
      <c r="AR56" s="5">
        <f>AQ56*(1+Вводные!AR193)</f>
        <v>2.7319052955063365</v>
      </c>
      <c r="AS56" s="5">
        <f>AR56*(1+Вводные!AS193)</f>
        <v>2.8138624543715265</v>
      </c>
      <c r="AT56" s="5">
        <f>AS56*(1+Вводные!AT193)</f>
        <v>2.8982783280026725</v>
      </c>
      <c r="AU56" s="5">
        <f>AT56*(1+Вводные!AU193)</f>
        <v>2.9852266778427525</v>
      </c>
      <c r="AV56" s="5">
        <f>AU56*(1+Вводные!AV193)</f>
        <v>3.074783478178035</v>
      </c>
      <c r="AW56" s="5">
        <f>AV56*(1+Вводные!AW193)</f>
        <v>3.1670269825233763</v>
      </c>
      <c r="AX56" s="5">
        <f>AW56*(1+Вводные!AX193)</f>
        <v>3.2620377919990777</v>
      </c>
      <c r="AY56" s="5">
        <f>AX56*(1+Вводные!AY193)</f>
        <v>3.3598989257590501</v>
      </c>
      <c r="AZ56" s="5">
        <f>AY56*(1+Вводные!AZ193)</f>
        <v>3.4606958935318217</v>
      </c>
      <c r="BA56" s="5">
        <f>AZ56*(1+Вводные!BA193)</f>
        <v>3.5645167703377765</v>
      </c>
      <c r="BB56" s="5">
        <f>BA56*(1+Вводные!BB193)</f>
        <v>3.67145227344791</v>
      </c>
      <c r="BC56" s="5">
        <f>BB56*(1+Вводные!BC193)</f>
        <v>3.7815958416513475</v>
      </c>
      <c r="BD56" s="5">
        <f>BC56*(1+Вводные!BD193)</f>
        <v>3.8950437169008882</v>
      </c>
      <c r="BE56" s="5">
        <f>BD56*(1+Вводные!BE193)</f>
        <v>4.0118950284079151</v>
      </c>
      <c r="BF56" s="5">
        <f>BE56*(1+Вводные!BF193)</f>
        <v>4.1322518792601528</v>
      </c>
      <c r="BG56" s="5">
        <f>BF56*(1+Вводные!BG193)</f>
        <v>4.2562194356379575</v>
      </c>
      <c r="BH56" s="5">
        <f>BG56*(1+Вводные!BH193)</f>
        <v>4.383906018707096</v>
      </c>
      <c r="BI56" s="5">
        <f>BH56*(1+Вводные!BI193)</f>
        <v>4.5154231992683087</v>
      </c>
      <c r="BJ56" s="5">
        <f>BI56*(1+Вводные!BJ193)</f>
        <v>4.6508858952463576</v>
      </c>
    </row>
    <row r="57" spans="4:62" x14ac:dyDescent="0.15">
      <c r="D57" s="9" t="str">
        <f>Вводные!$D$194</f>
        <v>Темп роста Ежемесячный расход на цели 3</v>
      </c>
      <c r="E57" s="12" t="s">
        <v>4</v>
      </c>
      <c r="I57" s="23">
        <v>1</v>
      </c>
      <c r="J57" s="5">
        <f>I57*(1+Вводные!J194)</f>
        <v>1</v>
      </c>
      <c r="K57" s="5">
        <f>J57*(1+Вводные!K194)</f>
        <v>1.03</v>
      </c>
      <c r="L57" s="5">
        <f>K57*(1+Вводные!L194)</f>
        <v>1.0609</v>
      </c>
      <c r="M57" s="5">
        <f>L57*(1+Вводные!M194)</f>
        <v>1.092727</v>
      </c>
      <c r="N57" s="5">
        <f>M57*(1+Вводные!N194)</f>
        <v>1.1255088100000001</v>
      </c>
      <c r="O57" s="5">
        <f>N57*(1+Вводные!O194)</f>
        <v>1.1592740743000001</v>
      </c>
      <c r="P57" s="5">
        <f>O57*(1+Вводные!P194)</f>
        <v>1.1940522965290001</v>
      </c>
      <c r="Q57" s="5">
        <f>P57*(1+Вводные!Q194)</f>
        <v>1.2298738654248702</v>
      </c>
      <c r="R57" s="5">
        <f>Q57*(1+Вводные!R194)</f>
        <v>1.2667700813876164</v>
      </c>
      <c r="S57" s="5">
        <f>R57*(1+Вводные!S194)</f>
        <v>1.3047731838292449</v>
      </c>
      <c r="T57" s="5">
        <f>S57*(1+Вводные!T194)</f>
        <v>1.3439163793441222</v>
      </c>
      <c r="U57" s="5">
        <f>T57*(1+Вводные!U194)</f>
        <v>1.3842338707244459</v>
      </c>
      <c r="V57" s="5">
        <f>U57*(1+Вводные!V194)</f>
        <v>1.4257608868461793</v>
      </c>
      <c r="W57" s="5">
        <f>V57*(1+Вводные!W194)</f>
        <v>1.4685337134515648</v>
      </c>
      <c r="X57" s="5">
        <f>W57*(1+Вводные!X194)</f>
        <v>1.5125897248551119</v>
      </c>
      <c r="Y57" s="5">
        <f>X57*(1+Вводные!Y194)</f>
        <v>1.5579674166007653</v>
      </c>
      <c r="Z57" s="5">
        <f>Y57*(1+Вводные!Z194)</f>
        <v>1.6047064390987884</v>
      </c>
      <c r="AA57" s="5">
        <f>Z57*(1+Вводные!AA194)</f>
        <v>1.652847632271752</v>
      </c>
      <c r="AB57" s="5">
        <f>AA57*(1+Вводные!AB194)</f>
        <v>1.7024330612399046</v>
      </c>
      <c r="AC57" s="5">
        <f>AB57*(1+Вводные!AC194)</f>
        <v>1.7535060530771018</v>
      </c>
      <c r="AD57" s="5">
        <f>AC57*(1+Вводные!AD194)</f>
        <v>1.806111234669415</v>
      </c>
      <c r="AE57" s="5">
        <f>AD57*(1+Вводные!AE194)</f>
        <v>1.8602945717094976</v>
      </c>
      <c r="AF57" s="5">
        <f>AE57*(1+Вводные!AF194)</f>
        <v>1.9161034088607827</v>
      </c>
      <c r="AG57" s="5">
        <f>AF57*(1+Вводные!AG194)</f>
        <v>1.9735865111266062</v>
      </c>
      <c r="AH57" s="5">
        <f>AG57*(1+Вводные!AH194)</f>
        <v>2.0327941064604045</v>
      </c>
      <c r="AI57" s="5">
        <f>AH57*(1+Вводные!AI194)</f>
        <v>2.0937779296542165</v>
      </c>
      <c r="AJ57" s="5">
        <f>AI57*(1+Вводные!AJ194)</f>
        <v>2.1565912675438432</v>
      </c>
      <c r="AK57" s="5">
        <f>AJ57*(1+Вводные!AK194)</f>
        <v>2.2212890055701586</v>
      </c>
      <c r="AL57" s="5">
        <f>AK57*(1+Вводные!AL194)</f>
        <v>2.2879276757372633</v>
      </c>
      <c r="AM57" s="5">
        <f>AL57*(1+Вводные!AM194)</f>
        <v>2.3565655060093813</v>
      </c>
      <c r="AN57" s="5">
        <f>AM57*(1+Вводные!AN194)</f>
        <v>2.4272624711896627</v>
      </c>
      <c r="AO57" s="5">
        <f>AN57*(1+Вводные!AO194)</f>
        <v>2.5000803453253524</v>
      </c>
      <c r="AP57" s="5">
        <f>AO57*(1+Вводные!AP194)</f>
        <v>2.5750827556851132</v>
      </c>
      <c r="AQ57" s="5">
        <f>AP57*(1+Вводные!AQ194)</f>
        <v>2.6523352383556666</v>
      </c>
      <c r="AR57" s="5">
        <f>AQ57*(1+Вводные!AR194)</f>
        <v>2.7319052955063365</v>
      </c>
      <c r="AS57" s="5">
        <f>AR57*(1+Вводные!AS194)</f>
        <v>2.8138624543715265</v>
      </c>
      <c r="AT57" s="5">
        <f>AS57*(1+Вводные!AT194)</f>
        <v>2.8982783280026725</v>
      </c>
      <c r="AU57" s="5">
        <f>AT57*(1+Вводные!AU194)</f>
        <v>2.9852266778427525</v>
      </c>
      <c r="AV57" s="5">
        <f>AU57*(1+Вводные!AV194)</f>
        <v>3.074783478178035</v>
      </c>
      <c r="AW57" s="5">
        <f>AV57*(1+Вводные!AW194)</f>
        <v>3.1670269825233763</v>
      </c>
      <c r="AX57" s="5">
        <f>AW57*(1+Вводные!AX194)</f>
        <v>3.2620377919990777</v>
      </c>
      <c r="AY57" s="5">
        <f>AX57*(1+Вводные!AY194)</f>
        <v>3.3598989257590501</v>
      </c>
      <c r="AZ57" s="5">
        <f>AY57*(1+Вводные!AZ194)</f>
        <v>3.4606958935318217</v>
      </c>
      <c r="BA57" s="5">
        <f>AZ57*(1+Вводные!BA194)</f>
        <v>3.5645167703377765</v>
      </c>
      <c r="BB57" s="5">
        <f>BA57*(1+Вводные!BB194)</f>
        <v>3.67145227344791</v>
      </c>
      <c r="BC57" s="5">
        <f>BB57*(1+Вводные!BC194)</f>
        <v>3.7815958416513475</v>
      </c>
      <c r="BD57" s="5">
        <f>BC57*(1+Вводные!BD194)</f>
        <v>3.8950437169008882</v>
      </c>
      <c r="BE57" s="5">
        <f>BD57*(1+Вводные!BE194)</f>
        <v>4.0118950284079151</v>
      </c>
      <c r="BF57" s="5">
        <f>BE57*(1+Вводные!BF194)</f>
        <v>4.1322518792601528</v>
      </c>
      <c r="BG57" s="5">
        <f>BF57*(1+Вводные!BG194)</f>
        <v>4.2562194356379575</v>
      </c>
      <c r="BH57" s="5">
        <f>BG57*(1+Вводные!BH194)</f>
        <v>4.383906018707096</v>
      </c>
      <c r="BI57" s="5">
        <f>BH57*(1+Вводные!BI194)</f>
        <v>4.5154231992683087</v>
      </c>
      <c r="BJ57" s="5">
        <f>BI57*(1+Вводные!BJ194)</f>
        <v>4.6508858952463576</v>
      </c>
    </row>
    <row r="58" spans="4:62" x14ac:dyDescent="0.15">
      <c r="D58" s="9" t="str">
        <f>Вводные!$D$195</f>
        <v>Темп роста Ежемесячный расход на цели 4</v>
      </c>
      <c r="E58" s="12" t="s">
        <v>4</v>
      </c>
      <c r="I58" s="23">
        <v>1</v>
      </c>
      <c r="J58" s="5">
        <f>I58*(1+Вводные!J195)</f>
        <v>1</v>
      </c>
      <c r="K58" s="5">
        <f>J58*(1+Вводные!K195)</f>
        <v>1.03</v>
      </c>
      <c r="L58" s="5">
        <f>K58*(1+Вводные!L195)</f>
        <v>1.0609</v>
      </c>
      <c r="M58" s="5">
        <f>L58*(1+Вводные!M195)</f>
        <v>1.092727</v>
      </c>
      <c r="N58" s="5">
        <f>M58*(1+Вводные!N195)</f>
        <v>1.1255088100000001</v>
      </c>
      <c r="O58" s="5">
        <f>N58*(1+Вводные!O195)</f>
        <v>1.1592740743000001</v>
      </c>
      <c r="P58" s="5">
        <f>O58*(1+Вводные!P195)</f>
        <v>1.1940522965290001</v>
      </c>
      <c r="Q58" s="5">
        <f>P58*(1+Вводные!Q195)</f>
        <v>1.2298738654248702</v>
      </c>
      <c r="R58" s="5">
        <f>Q58*(1+Вводные!R195)</f>
        <v>1.2667700813876164</v>
      </c>
      <c r="S58" s="5">
        <f>R58*(1+Вводные!S195)</f>
        <v>1.3047731838292449</v>
      </c>
      <c r="T58" s="5">
        <f>S58*(1+Вводные!T195)</f>
        <v>1.3439163793441222</v>
      </c>
      <c r="U58" s="5">
        <f>T58*(1+Вводные!U195)</f>
        <v>1.3842338707244459</v>
      </c>
      <c r="V58" s="5">
        <f>U58*(1+Вводные!V195)</f>
        <v>1.4257608868461793</v>
      </c>
      <c r="W58" s="5">
        <f>V58*(1+Вводные!W195)</f>
        <v>1.4685337134515648</v>
      </c>
      <c r="X58" s="5">
        <f>W58*(1+Вводные!X195)</f>
        <v>1.5125897248551119</v>
      </c>
      <c r="Y58" s="5">
        <f>X58*(1+Вводные!Y195)</f>
        <v>1.5579674166007653</v>
      </c>
      <c r="Z58" s="5">
        <f>Y58*(1+Вводные!Z195)</f>
        <v>1.6047064390987884</v>
      </c>
      <c r="AA58" s="5">
        <f>Z58*(1+Вводные!AA195)</f>
        <v>1.652847632271752</v>
      </c>
      <c r="AB58" s="5">
        <f>AA58*(1+Вводные!AB195)</f>
        <v>1.7024330612399046</v>
      </c>
      <c r="AC58" s="5">
        <f>AB58*(1+Вводные!AC195)</f>
        <v>1.7535060530771018</v>
      </c>
      <c r="AD58" s="5">
        <f>AC58*(1+Вводные!AD195)</f>
        <v>1.806111234669415</v>
      </c>
      <c r="AE58" s="5">
        <f>AD58*(1+Вводные!AE195)</f>
        <v>1.8602945717094976</v>
      </c>
      <c r="AF58" s="5">
        <f>AE58*(1+Вводные!AF195)</f>
        <v>1.9161034088607827</v>
      </c>
      <c r="AG58" s="5">
        <f>AF58*(1+Вводные!AG195)</f>
        <v>1.9735865111266062</v>
      </c>
      <c r="AH58" s="5">
        <f>AG58*(1+Вводные!AH195)</f>
        <v>2.0327941064604045</v>
      </c>
      <c r="AI58" s="5">
        <f>AH58*(1+Вводные!AI195)</f>
        <v>2.0937779296542165</v>
      </c>
      <c r="AJ58" s="5">
        <f>AI58*(1+Вводные!AJ195)</f>
        <v>2.1565912675438432</v>
      </c>
      <c r="AK58" s="5">
        <f>AJ58*(1+Вводные!AK195)</f>
        <v>2.2212890055701586</v>
      </c>
      <c r="AL58" s="5">
        <f>AK58*(1+Вводные!AL195)</f>
        <v>2.2879276757372633</v>
      </c>
      <c r="AM58" s="5">
        <f>AL58*(1+Вводные!AM195)</f>
        <v>2.3565655060093813</v>
      </c>
      <c r="AN58" s="5">
        <f>AM58*(1+Вводные!AN195)</f>
        <v>2.4272624711896627</v>
      </c>
      <c r="AO58" s="5">
        <f>AN58*(1+Вводные!AO195)</f>
        <v>2.5000803453253524</v>
      </c>
      <c r="AP58" s="5">
        <f>AO58*(1+Вводные!AP195)</f>
        <v>2.5750827556851132</v>
      </c>
      <c r="AQ58" s="5">
        <f>AP58*(1+Вводные!AQ195)</f>
        <v>2.6523352383556666</v>
      </c>
      <c r="AR58" s="5">
        <f>AQ58*(1+Вводные!AR195)</f>
        <v>2.7319052955063365</v>
      </c>
      <c r="AS58" s="5">
        <f>AR58*(1+Вводные!AS195)</f>
        <v>2.8138624543715265</v>
      </c>
      <c r="AT58" s="5">
        <f>AS58*(1+Вводные!AT195)</f>
        <v>2.8982783280026725</v>
      </c>
      <c r="AU58" s="5">
        <f>AT58*(1+Вводные!AU195)</f>
        <v>2.9852266778427525</v>
      </c>
      <c r="AV58" s="5">
        <f>AU58*(1+Вводные!AV195)</f>
        <v>3.074783478178035</v>
      </c>
      <c r="AW58" s="5">
        <f>AV58*(1+Вводные!AW195)</f>
        <v>3.1670269825233763</v>
      </c>
      <c r="AX58" s="5">
        <f>AW58*(1+Вводные!AX195)</f>
        <v>3.2620377919990777</v>
      </c>
      <c r="AY58" s="5">
        <f>AX58*(1+Вводные!AY195)</f>
        <v>3.3598989257590501</v>
      </c>
      <c r="AZ58" s="5">
        <f>AY58*(1+Вводные!AZ195)</f>
        <v>3.4606958935318217</v>
      </c>
      <c r="BA58" s="5">
        <f>AZ58*(1+Вводные!BA195)</f>
        <v>3.5645167703377765</v>
      </c>
      <c r="BB58" s="5">
        <f>BA58*(1+Вводные!BB195)</f>
        <v>3.67145227344791</v>
      </c>
      <c r="BC58" s="5">
        <f>BB58*(1+Вводные!BC195)</f>
        <v>3.7815958416513475</v>
      </c>
      <c r="BD58" s="5">
        <f>BC58*(1+Вводные!BD195)</f>
        <v>3.8950437169008882</v>
      </c>
      <c r="BE58" s="5">
        <f>BD58*(1+Вводные!BE195)</f>
        <v>4.0118950284079151</v>
      </c>
      <c r="BF58" s="5">
        <f>BE58*(1+Вводные!BF195)</f>
        <v>4.1322518792601528</v>
      </c>
      <c r="BG58" s="5">
        <f>BF58*(1+Вводные!BG195)</f>
        <v>4.2562194356379575</v>
      </c>
      <c r="BH58" s="5">
        <f>BG58*(1+Вводные!BH195)</f>
        <v>4.383906018707096</v>
      </c>
      <c r="BI58" s="5">
        <f>BH58*(1+Вводные!BI195)</f>
        <v>4.5154231992683087</v>
      </c>
      <c r="BJ58" s="5">
        <f>BI58*(1+Вводные!BJ195)</f>
        <v>4.6508858952463576</v>
      </c>
    </row>
    <row r="59" spans="4:62" x14ac:dyDescent="0.15">
      <c r="D59" s="9" t="str">
        <f>Вводные!$D$196</f>
        <v>Темп роста Ежемесячный расход на цели 5</v>
      </c>
      <c r="E59" s="12" t="s">
        <v>4</v>
      </c>
      <c r="I59" s="23">
        <v>1</v>
      </c>
      <c r="J59" s="5">
        <f>I59*(1+Вводные!J196)</f>
        <v>1</v>
      </c>
      <c r="K59" s="5">
        <f>J59*(1+Вводные!K196)</f>
        <v>1.03</v>
      </c>
      <c r="L59" s="5">
        <f>K59*(1+Вводные!L196)</f>
        <v>1.0609</v>
      </c>
      <c r="M59" s="5">
        <f>L59*(1+Вводные!M196)</f>
        <v>1.092727</v>
      </c>
      <c r="N59" s="5">
        <f>M59*(1+Вводные!N196)</f>
        <v>1.1255088100000001</v>
      </c>
      <c r="O59" s="5">
        <f>N59*(1+Вводные!O196)</f>
        <v>1.1592740743000001</v>
      </c>
      <c r="P59" s="5">
        <f>O59*(1+Вводные!P196)</f>
        <v>1.1940522965290001</v>
      </c>
      <c r="Q59" s="5">
        <f>P59*(1+Вводные!Q196)</f>
        <v>1.2298738654248702</v>
      </c>
      <c r="R59" s="5">
        <f>Q59*(1+Вводные!R196)</f>
        <v>1.2667700813876164</v>
      </c>
      <c r="S59" s="5">
        <f>R59*(1+Вводные!S196)</f>
        <v>1.3047731838292449</v>
      </c>
      <c r="T59" s="5">
        <f>S59*(1+Вводные!T196)</f>
        <v>1.3439163793441222</v>
      </c>
      <c r="U59" s="5">
        <f>T59*(1+Вводные!U196)</f>
        <v>1.3842338707244459</v>
      </c>
      <c r="V59" s="5">
        <f>U59*(1+Вводные!V196)</f>
        <v>1.4257608868461793</v>
      </c>
      <c r="W59" s="5">
        <f>V59*(1+Вводные!W196)</f>
        <v>1.4685337134515648</v>
      </c>
      <c r="X59" s="5">
        <f>W59*(1+Вводные!X196)</f>
        <v>1.5125897248551119</v>
      </c>
      <c r="Y59" s="5">
        <f>X59*(1+Вводные!Y196)</f>
        <v>1.5579674166007653</v>
      </c>
      <c r="Z59" s="5">
        <f>Y59*(1+Вводные!Z196)</f>
        <v>1.6047064390987884</v>
      </c>
      <c r="AA59" s="5">
        <f>Z59*(1+Вводные!AA196)</f>
        <v>1.652847632271752</v>
      </c>
      <c r="AB59" s="5">
        <f>AA59*(1+Вводные!AB196)</f>
        <v>1.7024330612399046</v>
      </c>
      <c r="AC59" s="5">
        <f>AB59*(1+Вводные!AC196)</f>
        <v>1.7535060530771018</v>
      </c>
      <c r="AD59" s="5">
        <f>AC59*(1+Вводные!AD196)</f>
        <v>1.806111234669415</v>
      </c>
      <c r="AE59" s="5">
        <f>AD59*(1+Вводные!AE196)</f>
        <v>1.8602945717094976</v>
      </c>
      <c r="AF59" s="5">
        <f>AE59*(1+Вводные!AF196)</f>
        <v>1.9161034088607827</v>
      </c>
      <c r="AG59" s="5">
        <f>AF59*(1+Вводные!AG196)</f>
        <v>1.9735865111266062</v>
      </c>
      <c r="AH59" s="5">
        <f>AG59*(1+Вводные!AH196)</f>
        <v>2.0327941064604045</v>
      </c>
      <c r="AI59" s="5">
        <f>AH59*(1+Вводные!AI196)</f>
        <v>2.0937779296542165</v>
      </c>
      <c r="AJ59" s="5">
        <f>AI59*(1+Вводные!AJ196)</f>
        <v>2.1565912675438432</v>
      </c>
      <c r="AK59" s="5">
        <f>AJ59*(1+Вводные!AK196)</f>
        <v>2.2212890055701586</v>
      </c>
      <c r="AL59" s="5">
        <f>AK59*(1+Вводные!AL196)</f>
        <v>2.2879276757372633</v>
      </c>
      <c r="AM59" s="5">
        <f>AL59*(1+Вводные!AM196)</f>
        <v>2.3565655060093813</v>
      </c>
      <c r="AN59" s="5">
        <f>AM59*(1+Вводные!AN196)</f>
        <v>2.4272624711896627</v>
      </c>
      <c r="AO59" s="5">
        <f>AN59*(1+Вводные!AO196)</f>
        <v>2.5000803453253524</v>
      </c>
      <c r="AP59" s="5">
        <f>AO59*(1+Вводные!AP196)</f>
        <v>2.5750827556851132</v>
      </c>
      <c r="AQ59" s="5">
        <f>AP59*(1+Вводные!AQ196)</f>
        <v>2.6523352383556666</v>
      </c>
      <c r="AR59" s="5">
        <f>AQ59*(1+Вводные!AR196)</f>
        <v>2.7319052955063365</v>
      </c>
      <c r="AS59" s="5">
        <f>AR59*(1+Вводные!AS196)</f>
        <v>2.8138624543715265</v>
      </c>
      <c r="AT59" s="5">
        <f>AS59*(1+Вводные!AT196)</f>
        <v>2.8982783280026725</v>
      </c>
      <c r="AU59" s="5">
        <f>AT59*(1+Вводные!AU196)</f>
        <v>2.9852266778427525</v>
      </c>
      <c r="AV59" s="5">
        <f>AU59*(1+Вводные!AV196)</f>
        <v>3.074783478178035</v>
      </c>
      <c r="AW59" s="5">
        <f>AV59*(1+Вводные!AW196)</f>
        <v>3.1670269825233763</v>
      </c>
      <c r="AX59" s="5">
        <f>AW59*(1+Вводные!AX196)</f>
        <v>3.2620377919990777</v>
      </c>
      <c r="AY59" s="5">
        <f>AX59*(1+Вводные!AY196)</f>
        <v>3.3598989257590501</v>
      </c>
      <c r="AZ59" s="5">
        <f>AY59*(1+Вводные!AZ196)</f>
        <v>3.4606958935318217</v>
      </c>
      <c r="BA59" s="5">
        <f>AZ59*(1+Вводные!BA196)</f>
        <v>3.5645167703377765</v>
      </c>
      <c r="BB59" s="5">
        <f>BA59*(1+Вводные!BB196)</f>
        <v>3.67145227344791</v>
      </c>
      <c r="BC59" s="5">
        <f>BB59*(1+Вводные!BC196)</f>
        <v>3.7815958416513475</v>
      </c>
      <c r="BD59" s="5">
        <f>BC59*(1+Вводные!BD196)</f>
        <v>3.8950437169008882</v>
      </c>
      <c r="BE59" s="5">
        <f>BD59*(1+Вводные!BE196)</f>
        <v>4.0118950284079151</v>
      </c>
      <c r="BF59" s="5">
        <f>BE59*(1+Вводные!BF196)</f>
        <v>4.1322518792601528</v>
      </c>
      <c r="BG59" s="5">
        <f>BF59*(1+Вводные!BG196)</f>
        <v>4.2562194356379575</v>
      </c>
      <c r="BH59" s="5">
        <f>BG59*(1+Вводные!BH196)</f>
        <v>4.383906018707096</v>
      </c>
      <c r="BI59" s="5">
        <f>BH59*(1+Вводные!BI196)</f>
        <v>4.5154231992683087</v>
      </c>
      <c r="BJ59" s="5">
        <f>BI59*(1+Вводные!BJ196)</f>
        <v>4.6508858952463576</v>
      </c>
    </row>
    <row r="60" spans="4:62" x14ac:dyDescent="0.15">
      <c r="D60" s="9" t="str">
        <f>Вводные!$D$197</f>
        <v>Темп роста Ежемесячный расход на цели 6</v>
      </c>
      <c r="E60" s="12" t="s">
        <v>4</v>
      </c>
      <c r="I60" s="23">
        <v>1</v>
      </c>
      <c r="J60" s="5">
        <f>I60*(1+Вводные!J197)</f>
        <v>1</v>
      </c>
      <c r="K60" s="5">
        <f>J60*(1+Вводные!K197)</f>
        <v>1.03</v>
      </c>
      <c r="L60" s="5">
        <f>K60*(1+Вводные!L197)</f>
        <v>1.0609</v>
      </c>
      <c r="M60" s="5">
        <f>L60*(1+Вводные!M197)</f>
        <v>1.092727</v>
      </c>
      <c r="N60" s="5">
        <f>M60*(1+Вводные!N197)</f>
        <v>1.1255088100000001</v>
      </c>
      <c r="O60" s="5">
        <f>N60*(1+Вводные!O197)</f>
        <v>1.1592740743000001</v>
      </c>
      <c r="P60" s="5">
        <f>O60*(1+Вводные!P197)</f>
        <v>1.1940522965290001</v>
      </c>
      <c r="Q60" s="5">
        <f>P60*(1+Вводные!Q197)</f>
        <v>1.2298738654248702</v>
      </c>
      <c r="R60" s="5">
        <f>Q60*(1+Вводные!R197)</f>
        <v>1.2667700813876164</v>
      </c>
      <c r="S60" s="5">
        <f>R60*(1+Вводные!S197)</f>
        <v>1.3047731838292449</v>
      </c>
      <c r="T60" s="5">
        <f>S60*(1+Вводные!T197)</f>
        <v>1.3439163793441222</v>
      </c>
      <c r="U60" s="5">
        <f>T60*(1+Вводные!U197)</f>
        <v>1.3842338707244459</v>
      </c>
      <c r="V60" s="5">
        <f>U60*(1+Вводные!V197)</f>
        <v>1.4257608868461793</v>
      </c>
      <c r="W60" s="5">
        <f>V60*(1+Вводные!W197)</f>
        <v>1.4685337134515648</v>
      </c>
      <c r="X60" s="5">
        <f>W60*(1+Вводные!X197)</f>
        <v>1.5125897248551119</v>
      </c>
      <c r="Y60" s="5">
        <f>X60*(1+Вводные!Y197)</f>
        <v>1.5579674166007653</v>
      </c>
      <c r="Z60" s="5">
        <f>Y60*(1+Вводные!Z197)</f>
        <v>1.6047064390987884</v>
      </c>
      <c r="AA60" s="5">
        <f>Z60*(1+Вводные!AA197)</f>
        <v>1.652847632271752</v>
      </c>
      <c r="AB60" s="5">
        <f>AA60*(1+Вводные!AB197)</f>
        <v>1.7024330612399046</v>
      </c>
      <c r="AC60" s="5">
        <f>AB60*(1+Вводные!AC197)</f>
        <v>1.7535060530771018</v>
      </c>
      <c r="AD60" s="5">
        <f>AC60*(1+Вводные!AD197)</f>
        <v>1.806111234669415</v>
      </c>
      <c r="AE60" s="5">
        <f>AD60*(1+Вводные!AE197)</f>
        <v>1.8602945717094976</v>
      </c>
      <c r="AF60" s="5">
        <f>AE60*(1+Вводные!AF197)</f>
        <v>1.9161034088607827</v>
      </c>
      <c r="AG60" s="5">
        <f>AF60*(1+Вводные!AG197)</f>
        <v>1.9735865111266062</v>
      </c>
      <c r="AH60" s="5">
        <f>AG60*(1+Вводные!AH197)</f>
        <v>2.0327941064604045</v>
      </c>
      <c r="AI60" s="5">
        <f>AH60*(1+Вводные!AI197)</f>
        <v>2.0937779296542165</v>
      </c>
      <c r="AJ60" s="5">
        <f>AI60*(1+Вводные!AJ197)</f>
        <v>2.1565912675438432</v>
      </c>
      <c r="AK60" s="5">
        <f>AJ60*(1+Вводные!AK197)</f>
        <v>2.2212890055701586</v>
      </c>
      <c r="AL60" s="5">
        <f>AK60*(1+Вводные!AL197)</f>
        <v>2.2879276757372633</v>
      </c>
      <c r="AM60" s="5">
        <f>AL60*(1+Вводные!AM197)</f>
        <v>2.3565655060093813</v>
      </c>
      <c r="AN60" s="5">
        <f>AM60*(1+Вводные!AN197)</f>
        <v>2.4272624711896627</v>
      </c>
      <c r="AO60" s="5">
        <f>AN60*(1+Вводные!AO197)</f>
        <v>2.5000803453253524</v>
      </c>
      <c r="AP60" s="5">
        <f>AO60*(1+Вводные!AP197)</f>
        <v>2.5750827556851132</v>
      </c>
      <c r="AQ60" s="5">
        <f>AP60*(1+Вводные!AQ197)</f>
        <v>2.6523352383556666</v>
      </c>
      <c r="AR60" s="5">
        <f>AQ60*(1+Вводные!AR197)</f>
        <v>2.7319052955063365</v>
      </c>
      <c r="AS60" s="5">
        <f>AR60*(1+Вводные!AS197)</f>
        <v>2.8138624543715265</v>
      </c>
      <c r="AT60" s="5">
        <f>AS60*(1+Вводные!AT197)</f>
        <v>2.8982783280026725</v>
      </c>
      <c r="AU60" s="5">
        <f>AT60*(1+Вводные!AU197)</f>
        <v>2.9852266778427525</v>
      </c>
      <c r="AV60" s="5">
        <f>AU60*(1+Вводные!AV197)</f>
        <v>3.074783478178035</v>
      </c>
      <c r="AW60" s="5">
        <f>AV60*(1+Вводные!AW197)</f>
        <v>3.1670269825233763</v>
      </c>
      <c r="AX60" s="5">
        <f>AW60*(1+Вводные!AX197)</f>
        <v>3.2620377919990777</v>
      </c>
      <c r="AY60" s="5">
        <f>AX60*(1+Вводные!AY197)</f>
        <v>3.3598989257590501</v>
      </c>
      <c r="AZ60" s="5">
        <f>AY60*(1+Вводные!AZ197)</f>
        <v>3.4606958935318217</v>
      </c>
      <c r="BA60" s="5">
        <f>AZ60*(1+Вводные!BA197)</f>
        <v>3.5645167703377765</v>
      </c>
      <c r="BB60" s="5">
        <f>BA60*(1+Вводные!BB197)</f>
        <v>3.67145227344791</v>
      </c>
      <c r="BC60" s="5">
        <f>BB60*(1+Вводные!BC197)</f>
        <v>3.7815958416513475</v>
      </c>
      <c r="BD60" s="5">
        <f>BC60*(1+Вводные!BD197)</f>
        <v>3.8950437169008882</v>
      </c>
      <c r="BE60" s="5">
        <f>BD60*(1+Вводные!BE197)</f>
        <v>4.0118950284079151</v>
      </c>
      <c r="BF60" s="5">
        <f>BE60*(1+Вводные!BF197)</f>
        <v>4.1322518792601528</v>
      </c>
      <c r="BG60" s="5">
        <f>BF60*(1+Вводные!BG197)</f>
        <v>4.2562194356379575</v>
      </c>
      <c r="BH60" s="5">
        <f>BG60*(1+Вводные!BH197)</f>
        <v>4.383906018707096</v>
      </c>
      <c r="BI60" s="5">
        <f>BH60*(1+Вводные!BI197)</f>
        <v>4.5154231992683087</v>
      </c>
      <c r="BJ60" s="5">
        <f>BI60*(1+Вводные!BJ197)</f>
        <v>4.6508858952463576</v>
      </c>
    </row>
    <row r="61" spans="4:62" x14ac:dyDescent="0.15">
      <c r="D61" s="9" t="str">
        <f>Вводные!$D$198</f>
        <v>Темп роста Ежемесячный расход на цели 7</v>
      </c>
      <c r="E61" s="12" t="s">
        <v>4</v>
      </c>
      <c r="I61" s="23">
        <v>1</v>
      </c>
      <c r="J61" s="5">
        <f>I61*(1+Вводные!J198)</f>
        <v>1</v>
      </c>
      <c r="K61" s="5">
        <f>J61*(1+Вводные!K198)</f>
        <v>1.03</v>
      </c>
      <c r="L61" s="5">
        <f>K61*(1+Вводные!L198)</f>
        <v>1.0609</v>
      </c>
      <c r="M61" s="5">
        <f>L61*(1+Вводные!M198)</f>
        <v>1.092727</v>
      </c>
      <c r="N61" s="5">
        <f>M61*(1+Вводные!N198)</f>
        <v>1.1255088100000001</v>
      </c>
      <c r="O61" s="5">
        <f>N61*(1+Вводные!O198)</f>
        <v>1.1592740743000001</v>
      </c>
      <c r="P61" s="5">
        <f>O61*(1+Вводные!P198)</f>
        <v>1.1940522965290001</v>
      </c>
      <c r="Q61" s="5">
        <f>P61*(1+Вводные!Q198)</f>
        <v>1.2298738654248702</v>
      </c>
      <c r="R61" s="5">
        <f>Q61*(1+Вводные!R198)</f>
        <v>1.2667700813876164</v>
      </c>
      <c r="S61" s="5">
        <f>R61*(1+Вводные!S198)</f>
        <v>1.3047731838292449</v>
      </c>
      <c r="T61" s="5">
        <f>S61*(1+Вводные!T198)</f>
        <v>1.3439163793441222</v>
      </c>
      <c r="U61" s="5">
        <f>T61*(1+Вводные!U198)</f>
        <v>1.3842338707244459</v>
      </c>
      <c r="V61" s="5">
        <f>U61*(1+Вводные!V198)</f>
        <v>1.4257608868461793</v>
      </c>
      <c r="W61" s="5">
        <f>V61*(1+Вводные!W198)</f>
        <v>1.4685337134515648</v>
      </c>
      <c r="X61" s="5">
        <f>W61*(1+Вводные!X198)</f>
        <v>1.5125897248551119</v>
      </c>
      <c r="Y61" s="5">
        <f>X61*(1+Вводные!Y198)</f>
        <v>1.5579674166007653</v>
      </c>
      <c r="Z61" s="5">
        <f>Y61*(1+Вводные!Z198)</f>
        <v>1.6047064390987884</v>
      </c>
      <c r="AA61" s="5">
        <f>Z61*(1+Вводные!AA198)</f>
        <v>1.652847632271752</v>
      </c>
      <c r="AB61" s="5">
        <f>AA61*(1+Вводные!AB198)</f>
        <v>1.7024330612399046</v>
      </c>
      <c r="AC61" s="5">
        <f>AB61*(1+Вводные!AC198)</f>
        <v>1.7535060530771018</v>
      </c>
      <c r="AD61" s="5">
        <f>AC61*(1+Вводные!AD198)</f>
        <v>1.806111234669415</v>
      </c>
      <c r="AE61" s="5">
        <f>AD61*(1+Вводные!AE198)</f>
        <v>1.8602945717094976</v>
      </c>
      <c r="AF61" s="5">
        <f>AE61*(1+Вводные!AF198)</f>
        <v>1.9161034088607827</v>
      </c>
      <c r="AG61" s="5">
        <f>AF61*(1+Вводные!AG198)</f>
        <v>1.9735865111266062</v>
      </c>
      <c r="AH61" s="5">
        <f>AG61*(1+Вводные!AH198)</f>
        <v>2.0327941064604045</v>
      </c>
      <c r="AI61" s="5">
        <f>AH61*(1+Вводные!AI198)</f>
        <v>2.0937779296542165</v>
      </c>
      <c r="AJ61" s="5">
        <f>AI61*(1+Вводные!AJ198)</f>
        <v>2.1565912675438432</v>
      </c>
      <c r="AK61" s="5">
        <f>AJ61*(1+Вводные!AK198)</f>
        <v>2.2212890055701586</v>
      </c>
      <c r="AL61" s="5">
        <f>AK61*(1+Вводные!AL198)</f>
        <v>2.2879276757372633</v>
      </c>
      <c r="AM61" s="5">
        <f>AL61*(1+Вводные!AM198)</f>
        <v>2.3565655060093813</v>
      </c>
      <c r="AN61" s="5">
        <f>AM61*(1+Вводные!AN198)</f>
        <v>2.4272624711896627</v>
      </c>
      <c r="AO61" s="5">
        <f>AN61*(1+Вводные!AO198)</f>
        <v>2.5000803453253524</v>
      </c>
      <c r="AP61" s="5">
        <f>AO61*(1+Вводные!AP198)</f>
        <v>2.5750827556851132</v>
      </c>
      <c r="AQ61" s="5">
        <f>AP61*(1+Вводные!AQ198)</f>
        <v>2.6523352383556666</v>
      </c>
      <c r="AR61" s="5">
        <f>AQ61*(1+Вводные!AR198)</f>
        <v>2.7319052955063365</v>
      </c>
      <c r="AS61" s="5">
        <f>AR61*(1+Вводные!AS198)</f>
        <v>2.8138624543715265</v>
      </c>
      <c r="AT61" s="5">
        <f>AS61*(1+Вводные!AT198)</f>
        <v>2.8982783280026725</v>
      </c>
      <c r="AU61" s="5">
        <f>AT61*(1+Вводные!AU198)</f>
        <v>2.9852266778427525</v>
      </c>
      <c r="AV61" s="5">
        <f>AU61*(1+Вводные!AV198)</f>
        <v>3.074783478178035</v>
      </c>
      <c r="AW61" s="5">
        <f>AV61*(1+Вводные!AW198)</f>
        <v>3.1670269825233763</v>
      </c>
      <c r="AX61" s="5">
        <f>AW61*(1+Вводные!AX198)</f>
        <v>3.2620377919990777</v>
      </c>
      <c r="AY61" s="5">
        <f>AX61*(1+Вводные!AY198)</f>
        <v>3.3598989257590501</v>
      </c>
      <c r="AZ61" s="5">
        <f>AY61*(1+Вводные!AZ198)</f>
        <v>3.4606958935318217</v>
      </c>
      <c r="BA61" s="5">
        <f>AZ61*(1+Вводные!BA198)</f>
        <v>3.5645167703377765</v>
      </c>
      <c r="BB61" s="5">
        <f>BA61*(1+Вводные!BB198)</f>
        <v>3.67145227344791</v>
      </c>
      <c r="BC61" s="5">
        <f>BB61*(1+Вводные!BC198)</f>
        <v>3.7815958416513475</v>
      </c>
      <c r="BD61" s="5">
        <f>BC61*(1+Вводные!BD198)</f>
        <v>3.8950437169008882</v>
      </c>
      <c r="BE61" s="5">
        <f>BD61*(1+Вводные!BE198)</f>
        <v>4.0118950284079151</v>
      </c>
      <c r="BF61" s="5">
        <f>BE61*(1+Вводные!BF198)</f>
        <v>4.1322518792601528</v>
      </c>
      <c r="BG61" s="5">
        <f>BF61*(1+Вводные!BG198)</f>
        <v>4.2562194356379575</v>
      </c>
      <c r="BH61" s="5">
        <f>BG61*(1+Вводные!BH198)</f>
        <v>4.383906018707096</v>
      </c>
      <c r="BI61" s="5">
        <f>BH61*(1+Вводные!BI198)</f>
        <v>4.5154231992683087</v>
      </c>
      <c r="BJ61" s="5">
        <f>BI61*(1+Вводные!BJ198)</f>
        <v>4.6508858952463576</v>
      </c>
    </row>
    <row r="62" spans="4:62" x14ac:dyDescent="0.15">
      <c r="D62" s="9" t="str">
        <f>Вводные!$D$199</f>
        <v>Темп роста Ежемесячный расход на цели 8</v>
      </c>
      <c r="E62" s="12" t="s">
        <v>4</v>
      </c>
      <c r="I62" s="23">
        <v>1</v>
      </c>
      <c r="J62" s="5">
        <f>I62*(1+Вводные!J199)</f>
        <v>1</v>
      </c>
      <c r="K62" s="5">
        <f>J62*(1+Вводные!K199)</f>
        <v>1.03</v>
      </c>
      <c r="L62" s="5">
        <f>K62*(1+Вводные!L199)</f>
        <v>1.0609</v>
      </c>
      <c r="M62" s="5">
        <f>L62*(1+Вводные!M199)</f>
        <v>1.092727</v>
      </c>
      <c r="N62" s="5">
        <f>M62*(1+Вводные!N199)</f>
        <v>1.1255088100000001</v>
      </c>
      <c r="O62" s="5">
        <f>N62*(1+Вводные!O199)</f>
        <v>1.1592740743000001</v>
      </c>
      <c r="P62" s="5">
        <f>O62*(1+Вводные!P199)</f>
        <v>1.1940522965290001</v>
      </c>
      <c r="Q62" s="5">
        <f>P62*(1+Вводные!Q199)</f>
        <v>1.2298738654248702</v>
      </c>
      <c r="R62" s="5">
        <f>Q62*(1+Вводные!R199)</f>
        <v>1.2667700813876164</v>
      </c>
      <c r="S62" s="5">
        <f>R62*(1+Вводные!S199)</f>
        <v>1.3047731838292449</v>
      </c>
      <c r="T62" s="5">
        <f>S62*(1+Вводные!T199)</f>
        <v>1.3439163793441222</v>
      </c>
      <c r="U62" s="5">
        <f>T62*(1+Вводные!U199)</f>
        <v>1.3842338707244459</v>
      </c>
      <c r="V62" s="5">
        <f>U62*(1+Вводные!V199)</f>
        <v>1.4257608868461793</v>
      </c>
      <c r="W62" s="5">
        <f>V62*(1+Вводные!W199)</f>
        <v>1.4685337134515648</v>
      </c>
      <c r="X62" s="5">
        <f>W62*(1+Вводные!X199)</f>
        <v>1.5125897248551119</v>
      </c>
      <c r="Y62" s="5">
        <f>X62*(1+Вводные!Y199)</f>
        <v>1.5579674166007653</v>
      </c>
      <c r="Z62" s="5">
        <f>Y62*(1+Вводные!Z199)</f>
        <v>1.6047064390987884</v>
      </c>
      <c r="AA62" s="5">
        <f>Z62*(1+Вводные!AA199)</f>
        <v>1.652847632271752</v>
      </c>
      <c r="AB62" s="5">
        <f>AA62*(1+Вводные!AB199)</f>
        <v>1.7024330612399046</v>
      </c>
      <c r="AC62" s="5">
        <f>AB62*(1+Вводные!AC199)</f>
        <v>1.7535060530771018</v>
      </c>
      <c r="AD62" s="5">
        <f>AC62*(1+Вводные!AD199)</f>
        <v>1.806111234669415</v>
      </c>
      <c r="AE62" s="5">
        <f>AD62*(1+Вводные!AE199)</f>
        <v>1.8602945717094976</v>
      </c>
      <c r="AF62" s="5">
        <f>AE62*(1+Вводные!AF199)</f>
        <v>1.9161034088607827</v>
      </c>
      <c r="AG62" s="5">
        <f>AF62*(1+Вводные!AG199)</f>
        <v>1.9735865111266062</v>
      </c>
      <c r="AH62" s="5">
        <f>AG62*(1+Вводные!AH199)</f>
        <v>2.0327941064604045</v>
      </c>
      <c r="AI62" s="5">
        <f>AH62*(1+Вводные!AI199)</f>
        <v>2.0937779296542165</v>
      </c>
      <c r="AJ62" s="5">
        <f>AI62*(1+Вводные!AJ199)</f>
        <v>2.1565912675438432</v>
      </c>
      <c r="AK62" s="5">
        <f>AJ62*(1+Вводные!AK199)</f>
        <v>2.2212890055701586</v>
      </c>
      <c r="AL62" s="5">
        <f>AK62*(1+Вводные!AL199)</f>
        <v>2.2879276757372633</v>
      </c>
      <c r="AM62" s="5">
        <f>AL62*(1+Вводные!AM199)</f>
        <v>2.3565655060093813</v>
      </c>
      <c r="AN62" s="5">
        <f>AM62*(1+Вводные!AN199)</f>
        <v>2.4272624711896627</v>
      </c>
      <c r="AO62" s="5">
        <f>AN62*(1+Вводные!AO199)</f>
        <v>2.5000803453253524</v>
      </c>
      <c r="AP62" s="5">
        <f>AO62*(1+Вводные!AP199)</f>
        <v>2.5750827556851132</v>
      </c>
      <c r="AQ62" s="5">
        <f>AP62*(1+Вводные!AQ199)</f>
        <v>2.6523352383556666</v>
      </c>
      <c r="AR62" s="5">
        <f>AQ62*(1+Вводные!AR199)</f>
        <v>2.7319052955063365</v>
      </c>
      <c r="AS62" s="5">
        <f>AR62*(1+Вводные!AS199)</f>
        <v>2.8138624543715265</v>
      </c>
      <c r="AT62" s="5">
        <f>AS62*(1+Вводные!AT199)</f>
        <v>2.8982783280026725</v>
      </c>
      <c r="AU62" s="5">
        <f>AT62*(1+Вводные!AU199)</f>
        <v>2.9852266778427525</v>
      </c>
      <c r="AV62" s="5">
        <f>AU62*(1+Вводные!AV199)</f>
        <v>3.074783478178035</v>
      </c>
      <c r="AW62" s="5">
        <f>AV62*(1+Вводные!AW199)</f>
        <v>3.1670269825233763</v>
      </c>
      <c r="AX62" s="5">
        <f>AW62*(1+Вводные!AX199)</f>
        <v>3.2620377919990777</v>
      </c>
      <c r="AY62" s="5">
        <f>AX62*(1+Вводные!AY199)</f>
        <v>3.3598989257590501</v>
      </c>
      <c r="AZ62" s="5">
        <f>AY62*(1+Вводные!AZ199)</f>
        <v>3.4606958935318217</v>
      </c>
      <c r="BA62" s="5">
        <f>AZ62*(1+Вводные!BA199)</f>
        <v>3.5645167703377765</v>
      </c>
      <c r="BB62" s="5">
        <f>BA62*(1+Вводные!BB199)</f>
        <v>3.67145227344791</v>
      </c>
      <c r="BC62" s="5">
        <f>BB62*(1+Вводные!BC199)</f>
        <v>3.7815958416513475</v>
      </c>
      <c r="BD62" s="5">
        <f>BC62*(1+Вводные!BD199)</f>
        <v>3.8950437169008882</v>
      </c>
      <c r="BE62" s="5">
        <f>BD62*(1+Вводные!BE199)</f>
        <v>4.0118950284079151</v>
      </c>
      <c r="BF62" s="5">
        <f>BE62*(1+Вводные!BF199)</f>
        <v>4.1322518792601528</v>
      </c>
      <c r="BG62" s="5">
        <f>BF62*(1+Вводные!BG199)</f>
        <v>4.2562194356379575</v>
      </c>
      <c r="BH62" s="5">
        <f>BG62*(1+Вводные!BH199)</f>
        <v>4.383906018707096</v>
      </c>
      <c r="BI62" s="5">
        <f>BH62*(1+Вводные!BI199)</f>
        <v>4.5154231992683087</v>
      </c>
      <c r="BJ62" s="5">
        <f>BI62*(1+Вводные!BJ199)</f>
        <v>4.6508858952463576</v>
      </c>
    </row>
    <row r="63" spans="4:62" x14ac:dyDescent="0.15">
      <c r="D63" s="9" t="str">
        <f>Вводные!$D$200</f>
        <v>Темп роста Ежемесячный расход на цели 9</v>
      </c>
      <c r="E63" s="12" t="s">
        <v>4</v>
      </c>
      <c r="I63" s="23">
        <v>1</v>
      </c>
      <c r="J63" s="5">
        <f>I63*(1+Вводные!J200)</f>
        <v>1</v>
      </c>
      <c r="K63" s="5">
        <f>J63*(1+Вводные!K200)</f>
        <v>1.03</v>
      </c>
      <c r="L63" s="5">
        <f>K63*(1+Вводные!L200)</f>
        <v>1.0609</v>
      </c>
      <c r="M63" s="5">
        <f>L63*(1+Вводные!M200)</f>
        <v>1.092727</v>
      </c>
      <c r="N63" s="5">
        <f>M63*(1+Вводные!N200)</f>
        <v>1.1255088100000001</v>
      </c>
      <c r="O63" s="5">
        <f>N63*(1+Вводные!O200)</f>
        <v>1.1592740743000001</v>
      </c>
      <c r="P63" s="5">
        <f>O63*(1+Вводные!P200)</f>
        <v>1.1940522965290001</v>
      </c>
      <c r="Q63" s="5">
        <f>P63*(1+Вводные!Q200)</f>
        <v>1.2298738654248702</v>
      </c>
      <c r="R63" s="5">
        <f>Q63*(1+Вводные!R200)</f>
        <v>1.2667700813876164</v>
      </c>
      <c r="S63" s="5">
        <f>R63*(1+Вводные!S200)</f>
        <v>1.3047731838292449</v>
      </c>
      <c r="T63" s="5">
        <f>S63*(1+Вводные!T200)</f>
        <v>1.3439163793441222</v>
      </c>
      <c r="U63" s="5">
        <f>T63*(1+Вводные!U200)</f>
        <v>1.3842338707244459</v>
      </c>
      <c r="V63" s="5">
        <f>U63*(1+Вводные!V200)</f>
        <v>1.4257608868461793</v>
      </c>
      <c r="W63" s="5">
        <f>V63*(1+Вводные!W200)</f>
        <v>1.4685337134515648</v>
      </c>
      <c r="X63" s="5">
        <f>W63*(1+Вводные!X200)</f>
        <v>1.5125897248551119</v>
      </c>
      <c r="Y63" s="5">
        <f>X63*(1+Вводные!Y200)</f>
        <v>1.5579674166007653</v>
      </c>
      <c r="Z63" s="5">
        <f>Y63*(1+Вводные!Z200)</f>
        <v>1.6047064390987884</v>
      </c>
      <c r="AA63" s="5">
        <f>Z63*(1+Вводные!AA200)</f>
        <v>1.652847632271752</v>
      </c>
      <c r="AB63" s="5">
        <f>AA63*(1+Вводные!AB200)</f>
        <v>1.7024330612399046</v>
      </c>
      <c r="AC63" s="5">
        <f>AB63*(1+Вводные!AC200)</f>
        <v>1.7535060530771018</v>
      </c>
      <c r="AD63" s="5">
        <f>AC63*(1+Вводные!AD200)</f>
        <v>1.806111234669415</v>
      </c>
      <c r="AE63" s="5">
        <f>AD63*(1+Вводные!AE200)</f>
        <v>1.8602945717094976</v>
      </c>
      <c r="AF63" s="5">
        <f>AE63*(1+Вводные!AF200)</f>
        <v>1.9161034088607827</v>
      </c>
      <c r="AG63" s="5">
        <f>AF63*(1+Вводные!AG200)</f>
        <v>1.9735865111266062</v>
      </c>
      <c r="AH63" s="5">
        <f>AG63*(1+Вводные!AH200)</f>
        <v>2.0327941064604045</v>
      </c>
      <c r="AI63" s="5">
        <f>AH63*(1+Вводные!AI200)</f>
        <v>2.0937779296542165</v>
      </c>
      <c r="AJ63" s="5">
        <f>AI63*(1+Вводные!AJ200)</f>
        <v>2.1565912675438432</v>
      </c>
      <c r="AK63" s="5">
        <f>AJ63*(1+Вводные!AK200)</f>
        <v>2.2212890055701586</v>
      </c>
      <c r="AL63" s="5">
        <f>AK63*(1+Вводные!AL200)</f>
        <v>2.2879276757372633</v>
      </c>
      <c r="AM63" s="5">
        <f>AL63*(1+Вводные!AM200)</f>
        <v>2.3565655060093813</v>
      </c>
      <c r="AN63" s="5">
        <f>AM63*(1+Вводные!AN200)</f>
        <v>2.4272624711896627</v>
      </c>
      <c r="AO63" s="5">
        <f>AN63*(1+Вводные!AO200)</f>
        <v>2.5000803453253524</v>
      </c>
      <c r="AP63" s="5">
        <f>AO63*(1+Вводные!AP200)</f>
        <v>2.5750827556851132</v>
      </c>
      <c r="AQ63" s="5">
        <f>AP63*(1+Вводные!AQ200)</f>
        <v>2.6523352383556666</v>
      </c>
      <c r="AR63" s="5">
        <f>AQ63*(1+Вводные!AR200)</f>
        <v>2.7319052955063365</v>
      </c>
      <c r="AS63" s="5">
        <f>AR63*(1+Вводные!AS200)</f>
        <v>2.8138624543715265</v>
      </c>
      <c r="AT63" s="5">
        <f>AS63*(1+Вводные!AT200)</f>
        <v>2.8982783280026725</v>
      </c>
      <c r="AU63" s="5">
        <f>AT63*(1+Вводные!AU200)</f>
        <v>2.9852266778427525</v>
      </c>
      <c r="AV63" s="5">
        <f>AU63*(1+Вводные!AV200)</f>
        <v>3.074783478178035</v>
      </c>
      <c r="AW63" s="5">
        <f>AV63*(1+Вводные!AW200)</f>
        <v>3.1670269825233763</v>
      </c>
      <c r="AX63" s="5">
        <f>AW63*(1+Вводные!AX200)</f>
        <v>3.2620377919990777</v>
      </c>
      <c r="AY63" s="5">
        <f>AX63*(1+Вводные!AY200)</f>
        <v>3.3598989257590501</v>
      </c>
      <c r="AZ63" s="5">
        <f>AY63*(1+Вводные!AZ200)</f>
        <v>3.4606958935318217</v>
      </c>
      <c r="BA63" s="5">
        <f>AZ63*(1+Вводные!BA200)</f>
        <v>3.5645167703377765</v>
      </c>
      <c r="BB63" s="5">
        <f>BA63*(1+Вводные!BB200)</f>
        <v>3.67145227344791</v>
      </c>
      <c r="BC63" s="5">
        <f>BB63*(1+Вводные!BC200)</f>
        <v>3.7815958416513475</v>
      </c>
      <c r="BD63" s="5">
        <f>BC63*(1+Вводные!BD200)</f>
        <v>3.8950437169008882</v>
      </c>
      <c r="BE63" s="5">
        <f>BD63*(1+Вводные!BE200)</f>
        <v>4.0118950284079151</v>
      </c>
      <c r="BF63" s="5">
        <f>BE63*(1+Вводные!BF200)</f>
        <v>4.1322518792601528</v>
      </c>
      <c r="BG63" s="5">
        <f>BF63*(1+Вводные!BG200)</f>
        <v>4.2562194356379575</v>
      </c>
      <c r="BH63" s="5">
        <f>BG63*(1+Вводные!BH200)</f>
        <v>4.383906018707096</v>
      </c>
      <c r="BI63" s="5">
        <f>BH63*(1+Вводные!BI200)</f>
        <v>4.5154231992683087</v>
      </c>
      <c r="BJ63" s="5">
        <f>BI63*(1+Вводные!BJ200)</f>
        <v>4.6508858952463576</v>
      </c>
    </row>
    <row r="64" spans="4:62" x14ac:dyDescent="0.15">
      <c r="D64" s="9" t="str">
        <f>Вводные!$D$201</f>
        <v>Темп роста Ежемесячный расход на цели 10</v>
      </c>
      <c r="E64" s="12" t="s">
        <v>4</v>
      </c>
      <c r="I64" s="23">
        <v>1</v>
      </c>
      <c r="J64" s="5">
        <f>I64*(1+Вводные!J201)</f>
        <v>1</v>
      </c>
      <c r="K64" s="5">
        <f>J64*(1+Вводные!K201)</f>
        <v>1.03</v>
      </c>
      <c r="L64" s="5">
        <f>K64*(1+Вводные!L201)</f>
        <v>1.0609</v>
      </c>
      <c r="M64" s="5">
        <f>L64*(1+Вводные!M201)</f>
        <v>1.092727</v>
      </c>
      <c r="N64" s="5">
        <f>M64*(1+Вводные!N201)</f>
        <v>1.1255088100000001</v>
      </c>
      <c r="O64" s="5">
        <f>N64*(1+Вводные!O201)</f>
        <v>1.1592740743000001</v>
      </c>
      <c r="P64" s="5">
        <f>O64*(1+Вводные!P201)</f>
        <v>1.1940522965290001</v>
      </c>
      <c r="Q64" s="5">
        <f>P64*(1+Вводные!Q201)</f>
        <v>1.2298738654248702</v>
      </c>
      <c r="R64" s="5">
        <f>Q64*(1+Вводные!R201)</f>
        <v>1.2667700813876164</v>
      </c>
      <c r="S64" s="5">
        <f>R64*(1+Вводные!S201)</f>
        <v>1.3047731838292449</v>
      </c>
      <c r="T64" s="5">
        <f>S64*(1+Вводные!T201)</f>
        <v>1.3439163793441222</v>
      </c>
      <c r="U64" s="5">
        <f>T64*(1+Вводные!U201)</f>
        <v>1.3842338707244459</v>
      </c>
      <c r="V64" s="5">
        <f>U64*(1+Вводные!V201)</f>
        <v>1.4257608868461793</v>
      </c>
      <c r="W64" s="5">
        <f>V64*(1+Вводные!W201)</f>
        <v>1.4685337134515648</v>
      </c>
      <c r="X64" s="5">
        <f>W64*(1+Вводные!X201)</f>
        <v>1.5125897248551119</v>
      </c>
      <c r="Y64" s="5">
        <f>X64*(1+Вводные!Y201)</f>
        <v>1.5579674166007653</v>
      </c>
      <c r="Z64" s="5">
        <f>Y64*(1+Вводные!Z201)</f>
        <v>1.6047064390987884</v>
      </c>
      <c r="AA64" s="5">
        <f>Z64*(1+Вводные!AA201)</f>
        <v>1.652847632271752</v>
      </c>
      <c r="AB64" s="5">
        <f>AA64*(1+Вводные!AB201)</f>
        <v>1.7024330612399046</v>
      </c>
      <c r="AC64" s="5">
        <f>AB64*(1+Вводные!AC201)</f>
        <v>1.7535060530771018</v>
      </c>
      <c r="AD64" s="5">
        <f>AC64*(1+Вводные!AD201)</f>
        <v>1.806111234669415</v>
      </c>
      <c r="AE64" s="5">
        <f>AD64*(1+Вводные!AE201)</f>
        <v>1.8602945717094976</v>
      </c>
      <c r="AF64" s="5">
        <f>AE64*(1+Вводные!AF201)</f>
        <v>1.9161034088607827</v>
      </c>
      <c r="AG64" s="5">
        <f>AF64*(1+Вводные!AG201)</f>
        <v>1.9735865111266062</v>
      </c>
      <c r="AH64" s="5">
        <f>AG64*(1+Вводные!AH201)</f>
        <v>2.0327941064604045</v>
      </c>
      <c r="AI64" s="5">
        <f>AH64*(1+Вводные!AI201)</f>
        <v>2.0937779296542165</v>
      </c>
      <c r="AJ64" s="5">
        <f>AI64*(1+Вводные!AJ201)</f>
        <v>2.1565912675438432</v>
      </c>
      <c r="AK64" s="5">
        <f>AJ64*(1+Вводные!AK201)</f>
        <v>2.2212890055701586</v>
      </c>
      <c r="AL64" s="5">
        <f>AK64*(1+Вводные!AL201)</f>
        <v>2.2879276757372633</v>
      </c>
      <c r="AM64" s="5">
        <f>AL64*(1+Вводные!AM201)</f>
        <v>2.3565655060093813</v>
      </c>
      <c r="AN64" s="5">
        <f>AM64*(1+Вводные!AN201)</f>
        <v>2.4272624711896627</v>
      </c>
      <c r="AO64" s="5">
        <f>AN64*(1+Вводные!AO201)</f>
        <v>2.5000803453253524</v>
      </c>
      <c r="AP64" s="5">
        <f>AO64*(1+Вводные!AP201)</f>
        <v>2.5750827556851132</v>
      </c>
      <c r="AQ64" s="5">
        <f>AP64*(1+Вводные!AQ201)</f>
        <v>2.6523352383556666</v>
      </c>
      <c r="AR64" s="5">
        <f>AQ64*(1+Вводные!AR201)</f>
        <v>2.7319052955063365</v>
      </c>
      <c r="AS64" s="5">
        <f>AR64*(1+Вводные!AS201)</f>
        <v>2.8138624543715265</v>
      </c>
      <c r="AT64" s="5">
        <f>AS64*(1+Вводные!AT201)</f>
        <v>2.8982783280026725</v>
      </c>
      <c r="AU64" s="5">
        <f>AT64*(1+Вводные!AU201)</f>
        <v>2.9852266778427525</v>
      </c>
      <c r="AV64" s="5">
        <f>AU64*(1+Вводные!AV201)</f>
        <v>3.074783478178035</v>
      </c>
      <c r="AW64" s="5">
        <f>AV64*(1+Вводные!AW201)</f>
        <v>3.1670269825233763</v>
      </c>
      <c r="AX64" s="5">
        <f>AW64*(1+Вводные!AX201)</f>
        <v>3.2620377919990777</v>
      </c>
      <c r="AY64" s="5">
        <f>AX64*(1+Вводные!AY201)</f>
        <v>3.3598989257590501</v>
      </c>
      <c r="AZ64" s="5">
        <f>AY64*(1+Вводные!AZ201)</f>
        <v>3.4606958935318217</v>
      </c>
      <c r="BA64" s="5">
        <f>AZ64*(1+Вводные!BA201)</f>
        <v>3.5645167703377765</v>
      </c>
      <c r="BB64" s="5">
        <f>BA64*(1+Вводные!BB201)</f>
        <v>3.67145227344791</v>
      </c>
      <c r="BC64" s="5">
        <f>BB64*(1+Вводные!BC201)</f>
        <v>3.7815958416513475</v>
      </c>
      <c r="BD64" s="5">
        <f>BC64*(1+Вводные!BD201)</f>
        <v>3.8950437169008882</v>
      </c>
      <c r="BE64" s="5">
        <f>BD64*(1+Вводные!BE201)</f>
        <v>4.0118950284079151</v>
      </c>
      <c r="BF64" s="5">
        <f>BE64*(1+Вводные!BF201)</f>
        <v>4.1322518792601528</v>
      </c>
      <c r="BG64" s="5">
        <f>BF64*(1+Вводные!BG201)</f>
        <v>4.2562194356379575</v>
      </c>
      <c r="BH64" s="5">
        <f>BG64*(1+Вводные!BH201)</f>
        <v>4.383906018707096</v>
      </c>
      <c r="BI64" s="5">
        <f>BH64*(1+Вводные!BI201)</f>
        <v>4.5154231992683087</v>
      </c>
      <c r="BJ64" s="5">
        <f>BI64*(1+Вводные!BJ201)</f>
        <v>4.6508858952463576</v>
      </c>
    </row>
    <row r="66" spans="3:62" x14ac:dyDescent="0.15">
      <c r="C66" s="2">
        <f>MAX( $B$36:C65 ) + 0.1</f>
        <v>2.2000000000000002</v>
      </c>
      <c r="D66" s="2" t="s">
        <v>28</v>
      </c>
      <c r="E66" s="14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</row>
    <row r="67" spans="3:62" x14ac:dyDescent="0.15">
      <c r="E67" s="12"/>
    </row>
    <row r="68" spans="3:62" ht="12" thickBot="1" x14ac:dyDescent="0.2">
      <c r="D68" s="8" t="s">
        <v>28</v>
      </c>
      <c r="E68" s="15" t="s">
        <v>110</v>
      </c>
      <c r="I68" s="24">
        <f t="shared" ref="I68:AN68" si="13">SUM(I69:I78)</f>
        <v>-20000</v>
      </c>
      <c r="J68" s="7">
        <f t="shared" si="13"/>
        <v>-20000</v>
      </c>
      <c r="K68" s="7">
        <f t="shared" si="13"/>
        <v>-20600</v>
      </c>
      <c r="L68" s="7">
        <f t="shared" si="13"/>
        <v>-21218</v>
      </c>
      <c r="M68" s="7">
        <f t="shared" si="13"/>
        <v>-21854.54</v>
      </c>
      <c r="N68" s="7">
        <f t="shared" si="13"/>
        <v>-22510.176200000002</v>
      </c>
      <c r="O68" s="7">
        <f t="shared" si="13"/>
        <v>-23185.481486000001</v>
      </c>
      <c r="P68" s="7">
        <f t="shared" si="13"/>
        <v>-23881.045930580003</v>
      </c>
      <c r="Q68" s="7">
        <f t="shared" si="13"/>
        <v>-24597.477308497404</v>
      </c>
      <c r="R68" s="7">
        <f t="shared" si="13"/>
        <v>-25335.401627752326</v>
      </c>
      <c r="S68" s="7">
        <f t="shared" si="13"/>
        <v>-26095.463676584899</v>
      </c>
      <c r="T68" s="7">
        <f t="shared" si="13"/>
        <v>-26878.327586882446</v>
      </c>
      <c r="U68" s="7">
        <f t="shared" si="13"/>
        <v>-27684.677414488917</v>
      </c>
      <c r="V68" s="7">
        <f t="shared" si="13"/>
        <v>-28515.217736923587</v>
      </c>
      <c r="W68" s="7">
        <f t="shared" si="13"/>
        <v>-29370.674269031297</v>
      </c>
      <c r="X68" s="7">
        <f t="shared" si="13"/>
        <v>-30251.794497102237</v>
      </c>
      <c r="Y68" s="7">
        <f t="shared" si="13"/>
        <v>-31159.348332015306</v>
      </c>
      <c r="Z68" s="7">
        <f t="shared" si="13"/>
        <v>-32094.128781975767</v>
      </c>
      <c r="AA68" s="7">
        <f t="shared" si="13"/>
        <v>-33056.952645435042</v>
      </c>
      <c r="AB68" s="7">
        <f t="shared" si="13"/>
        <v>-34048.661224798088</v>
      </c>
      <c r="AC68" s="7">
        <f t="shared" si="13"/>
        <v>-35070.121061542035</v>
      </c>
      <c r="AD68" s="7">
        <f t="shared" si="13"/>
        <v>-36122.2246933883</v>
      </c>
      <c r="AE68" s="7">
        <f t="shared" si="13"/>
        <v>-37205.891434189951</v>
      </c>
      <c r="AF68" s="7">
        <f t="shared" si="13"/>
        <v>-38322.068177215653</v>
      </c>
      <c r="AG68" s="7">
        <f t="shared" si="13"/>
        <v>-39471.730222532125</v>
      </c>
      <c r="AH68" s="7">
        <f t="shared" si="13"/>
        <v>-40655.88212920809</v>
      </c>
      <c r="AI68" s="7">
        <f t="shared" si="13"/>
        <v>-41875.55859308433</v>
      </c>
      <c r="AJ68" s="7">
        <f t="shared" si="13"/>
        <v>-43131.825350876861</v>
      </c>
      <c r="AK68" s="7">
        <f t="shared" si="13"/>
        <v>-44425.780111403175</v>
      </c>
      <c r="AL68" s="7">
        <f t="shared" si="13"/>
        <v>-45758.553514745268</v>
      </c>
      <c r="AM68" s="7">
        <f t="shared" si="13"/>
        <v>-47131.310120187627</v>
      </c>
      <c r="AN68" s="7">
        <f t="shared" si="13"/>
        <v>-48545.249423793255</v>
      </c>
      <c r="AO68" s="7">
        <f t="shared" ref="AO68:BJ68" si="14">SUM(AO69:AO78)</f>
        <v>-50001.606906507048</v>
      </c>
      <c r="AP68" s="7">
        <f t="shared" si="14"/>
        <v>-51501.655113702262</v>
      </c>
      <c r="AQ68" s="7">
        <f t="shared" si="14"/>
        <v>-53046.704767113333</v>
      </c>
      <c r="AR68" s="7">
        <f t="shared" si="14"/>
        <v>-54638.105910126731</v>
      </c>
      <c r="AS68" s="7">
        <f t="shared" si="14"/>
        <v>-56277.249087430529</v>
      </c>
      <c r="AT68" s="7">
        <f t="shared" si="14"/>
        <v>-57965.566560053448</v>
      </c>
      <c r="AU68" s="7">
        <f t="shared" si="14"/>
        <v>0</v>
      </c>
      <c r="AV68" s="7">
        <f t="shared" si="14"/>
        <v>0</v>
      </c>
      <c r="AW68" s="7">
        <f t="shared" si="14"/>
        <v>0</v>
      </c>
      <c r="AX68" s="7">
        <f t="shared" si="14"/>
        <v>0</v>
      </c>
      <c r="AY68" s="7">
        <f t="shared" si="14"/>
        <v>0</v>
      </c>
      <c r="AZ68" s="7">
        <f t="shared" si="14"/>
        <v>0</v>
      </c>
      <c r="BA68" s="7">
        <f t="shared" si="14"/>
        <v>0</v>
      </c>
      <c r="BB68" s="7">
        <f t="shared" si="14"/>
        <v>0</v>
      </c>
      <c r="BC68" s="7">
        <f t="shared" si="14"/>
        <v>0</v>
      </c>
      <c r="BD68" s="7">
        <f t="shared" si="14"/>
        <v>0</v>
      </c>
      <c r="BE68" s="7">
        <f t="shared" si="14"/>
        <v>0</v>
      </c>
      <c r="BF68" s="7">
        <f t="shared" si="14"/>
        <v>0</v>
      </c>
      <c r="BG68" s="7">
        <f t="shared" si="14"/>
        <v>0</v>
      </c>
      <c r="BH68" s="7">
        <f t="shared" si="14"/>
        <v>0</v>
      </c>
      <c r="BI68" s="7">
        <f t="shared" si="14"/>
        <v>0</v>
      </c>
      <c r="BJ68" s="7">
        <f t="shared" si="14"/>
        <v>0</v>
      </c>
    </row>
    <row r="69" spans="3:62" ht="12" thickTop="1" x14ac:dyDescent="0.15">
      <c r="D69" s="11" t="str">
        <f>Вводные!$D$206</f>
        <v>Отдых</v>
      </c>
      <c r="E69" s="12" t="s">
        <v>110</v>
      </c>
      <c r="I69" s="22">
        <f>Вводные!F206</f>
        <v>-20000</v>
      </c>
      <c r="J69" s="3">
        <f>$I69 * J81 * J25</f>
        <v>-20000</v>
      </c>
      <c r="K69" s="3">
        <f t="shared" ref="K69:BJ69" si="15">$I69 * K81 * K25</f>
        <v>-20600</v>
      </c>
      <c r="L69" s="3">
        <f t="shared" si="15"/>
        <v>-21218</v>
      </c>
      <c r="M69" s="3">
        <f t="shared" si="15"/>
        <v>-21854.54</v>
      </c>
      <c r="N69" s="3">
        <f t="shared" si="15"/>
        <v>-22510.176200000002</v>
      </c>
      <c r="O69" s="3">
        <f t="shared" si="15"/>
        <v>-23185.481486000001</v>
      </c>
      <c r="P69" s="3">
        <f t="shared" si="15"/>
        <v>-23881.045930580003</v>
      </c>
      <c r="Q69" s="3">
        <f t="shared" si="15"/>
        <v>-24597.477308497404</v>
      </c>
      <c r="R69" s="3">
        <f t="shared" si="15"/>
        <v>-25335.401627752326</v>
      </c>
      <c r="S69" s="3">
        <f t="shared" si="15"/>
        <v>-26095.463676584899</v>
      </c>
      <c r="T69" s="3">
        <f t="shared" si="15"/>
        <v>-26878.327586882446</v>
      </c>
      <c r="U69" s="3">
        <f t="shared" si="15"/>
        <v>-27684.677414488917</v>
      </c>
      <c r="V69" s="3">
        <f t="shared" si="15"/>
        <v>-28515.217736923587</v>
      </c>
      <c r="W69" s="3">
        <f t="shared" si="15"/>
        <v>-29370.674269031297</v>
      </c>
      <c r="X69" s="3">
        <f t="shared" si="15"/>
        <v>-30251.794497102237</v>
      </c>
      <c r="Y69" s="3">
        <f t="shared" si="15"/>
        <v>-31159.348332015306</v>
      </c>
      <c r="Z69" s="3">
        <f t="shared" si="15"/>
        <v>-32094.128781975767</v>
      </c>
      <c r="AA69" s="3">
        <f t="shared" si="15"/>
        <v>-33056.952645435042</v>
      </c>
      <c r="AB69" s="3">
        <f t="shared" si="15"/>
        <v>-34048.661224798088</v>
      </c>
      <c r="AC69" s="3">
        <f t="shared" si="15"/>
        <v>-35070.121061542035</v>
      </c>
      <c r="AD69" s="3">
        <f t="shared" si="15"/>
        <v>-36122.2246933883</v>
      </c>
      <c r="AE69" s="3">
        <f t="shared" si="15"/>
        <v>-37205.891434189951</v>
      </c>
      <c r="AF69" s="3">
        <f t="shared" si="15"/>
        <v>-38322.068177215653</v>
      </c>
      <c r="AG69" s="3">
        <f t="shared" si="15"/>
        <v>-39471.730222532125</v>
      </c>
      <c r="AH69" s="3">
        <f t="shared" si="15"/>
        <v>-40655.88212920809</v>
      </c>
      <c r="AI69" s="3">
        <f t="shared" si="15"/>
        <v>-41875.55859308433</v>
      </c>
      <c r="AJ69" s="3">
        <f t="shared" si="15"/>
        <v>-43131.825350876861</v>
      </c>
      <c r="AK69" s="3">
        <f t="shared" si="15"/>
        <v>-44425.780111403175</v>
      </c>
      <c r="AL69" s="3">
        <f t="shared" si="15"/>
        <v>-45758.553514745268</v>
      </c>
      <c r="AM69" s="3">
        <f t="shared" si="15"/>
        <v>-47131.310120187627</v>
      </c>
      <c r="AN69" s="3">
        <f t="shared" si="15"/>
        <v>-48545.249423793255</v>
      </c>
      <c r="AO69" s="3">
        <f t="shared" si="15"/>
        <v>-50001.606906507048</v>
      </c>
      <c r="AP69" s="3">
        <f t="shared" si="15"/>
        <v>-51501.655113702262</v>
      </c>
      <c r="AQ69" s="3">
        <f t="shared" si="15"/>
        <v>-53046.704767113333</v>
      </c>
      <c r="AR69" s="3">
        <f t="shared" si="15"/>
        <v>-54638.105910126731</v>
      </c>
      <c r="AS69" s="3">
        <f t="shared" si="15"/>
        <v>-56277.249087430529</v>
      </c>
      <c r="AT69" s="3">
        <f t="shared" si="15"/>
        <v>-57965.566560053448</v>
      </c>
      <c r="AU69" s="3">
        <f t="shared" si="15"/>
        <v>0</v>
      </c>
      <c r="AV69" s="3">
        <f t="shared" si="15"/>
        <v>0</v>
      </c>
      <c r="AW69" s="3">
        <f t="shared" si="15"/>
        <v>0</v>
      </c>
      <c r="AX69" s="3">
        <f t="shared" si="15"/>
        <v>0</v>
      </c>
      <c r="AY69" s="3">
        <f t="shared" si="15"/>
        <v>0</v>
      </c>
      <c r="AZ69" s="3">
        <f t="shared" si="15"/>
        <v>0</v>
      </c>
      <c r="BA69" s="3">
        <f t="shared" si="15"/>
        <v>0</v>
      </c>
      <c r="BB69" s="3">
        <f t="shared" si="15"/>
        <v>0</v>
      </c>
      <c r="BC69" s="3">
        <f t="shared" si="15"/>
        <v>0</v>
      </c>
      <c r="BD69" s="3">
        <f t="shared" si="15"/>
        <v>0</v>
      </c>
      <c r="BE69" s="3">
        <f t="shared" si="15"/>
        <v>0</v>
      </c>
      <c r="BF69" s="3">
        <f t="shared" si="15"/>
        <v>0</v>
      </c>
      <c r="BG69" s="3">
        <f t="shared" si="15"/>
        <v>0</v>
      </c>
      <c r="BH69" s="3">
        <f t="shared" si="15"/>
        <v>0</v>
      </c>
      <c r="BI69" s="3">
        <f t="shared" si="15"/>
        <v>0</v>
      </c>
      <c r="BJ69" s="3">
        <f t="shared" si="15"/>
        <v>0</v>
      </c>
    </row>
    <row r="70" spans="3:62" x14ac:dyDescent="0.15">
      <c r="D70" s="11" t="str">
        <f>Вводные!$D$207</f>
        <v>Ежегодный расход на цели 2</v>
      </c>
      <c r="E70" s="12" t="s">
        <v>110</v>
      </c>
      <c r="I70" s="20">
        <f>Вводные!F207</f>
        <v>0</v>
      </c>
      <c r="J70" s="3">
        <f t="shared" ref="J70:BJ70" si="16">$I70 * J82 * J26</f>
        <v>0</v>
      </c>
      <c r="K70" s="3">
        <f t="shared" si="16"/>
        <v>0</v>
      </c>
      <c r="L70" s="3">
        <f t="shared" si="16"/>
        <v>0</v>
      </c>
      <c r="M70" s="3">
        <f t="shared" si="16"/>
        <v>0</v>
      </c>
      <c r="N70" s="3">
        <f t="shared" si="16"/>
        <v>0</v>
      </c>
      <c r="O70" s="3">
        <f t="shared" si="16"/>
        <v>0</v>
      </c>
      <c r="P70" s="3">
        <f t="shared" si="16"/>
        <v>0</v>
      </c>
      <c r="Q70" s="3">
        <f t="shared" si="16"/>
        <v>0</v>
      </c>
      <c r="R70" s="3">
        <f t="shared" si="16"/>
        <v>0</v>
      </c>
      <c r="S70" s="3">
        <f t="shared" si="16"/>
        <v>0</v>
      </c>
      <c r="T70" s="3">
        <f t="shared" si="16"/>
        <v>0</v>
      </c>
      <c r="U70" s="3">
        <f t="shared" si="16"/>
        <v>0</v>
      </c>
      <c r="V70" s="3">
        <f t="shared" si="16"/>
        <v>0</v>
      </c>
      <c r="W70" s="3">
        <f t="shared" si="16"/>
        <v>0</v>
      </c>
      <c r="X70" s="3">
        <f t="shared" si="16"/>
        <v>0</v>
      </c>
      <c r="Y70" s="3">
        <f t="shared" si="16"/>
        <v>0</v>
      </c>
      <c r="Z70" s="3">
        <f t="shared" si="16"/>
        <v>0</v>
      </c>
      <c r="AA70" s="3">
        <f t="shared" si="16"/>
        <v>0</v>
      </c>
      <c r="AB70" s="3">
        <f t="shared" si="16"/>
        <v>0</v>
      </c>
      <c r="AC70" s="3">
        <f t="shared" si="16"/>
        <v>0</v>
      </c>
      <c r="AD70" s="3">
        <f t="shared" si="16"/>
        <v>0</v>
      </c>
      <c r="AE70" s="3">
        <f t="shared" si="16"/>
        <v>0</v>
      </c>
      <c r="AF70" s="3">
        <f t="shared" si="16"/>
        <v>0</v>
      </c>
      <c r="AG70" s="3">
        <f t="shared" si="16"/>
        <v>0</v>
      </c>
      <c r="AH70" s="3">
        <f t="shared" si="16"/>
        <v>0</v>
      </c>
      <c r="AI70" s="3">
        <f t="shared" si="16"/>
        <v>0</v>
      </c>
      <c r="AJ70" s="3">
        <f t="shared" si="16"/>
        <v>0</v>
      </c>
      <c r="AK70" s="3">
        <f t="shared" si="16"/>
        <v>0</v>
      </c>
      <c r="AL70" s="3">
        <f t="shared" si="16"/>
        <v>0</v>
      </c>
      <c r="AM70" s="3">
        <f t="shared" si="16"/>
        <v>0</v>
      </c>
      <c r="AN70" s="3">
        <f t="shared" si="16"/>
        <v>0</v>
      </c>
      <c r="AO70" s="3">
        <f t="shared" si="16"/>
        <v>0</v>
      </c>
      <c r="AP70" s="3">
        <f t="shared" si="16"/>
        <v>0</v>
      </c>
      <c r="AQ70" s="3">
        <f t="shared" si="16"/>
        <v>0</v>
      </c>
      <c r="AR70" s="3">
        <f t="shared" si="16"/>
        <v>0</v>
      </c>
      <c r="AS70" s="3">
        <f t="shared" si="16"/>
        <v>0</v>
      </c>
      <c r="AT70" s="3">
        <f t="shared" si="16"/>
        <v>0</v>
      </c>
      <c r="AU70" s="3">
        <f t="shared" si="16"/>
        <v>0</v>
      </c>
      <c r="AV70" s="3">
        <f t="shared" si="16"/>
        <v>0</v>
      </c>
      <c r="AW70" s="3">
        <f t="shared" si="16"/>
        <v>0</v>
      </c>
      <c r="AX70" s="3">
        <f t="shared" si="16"/>
        <v>0</v>
      </c>
      <c r="AY70" s="3">
        <f t="shared" si="16"/>
        <v>0</v>
      </c>
      <c r="AZ70" s="3">
        <f t="shared" si="16"/>
        <v>0</v>
      </c>
      <c r="BA70" s="3">
        <f t="shared" si="16"/>
        <v>0</v>
      </c>
      <c r="BB70" s="3">
        <f t="shared" si="16"/>
        <v>0</v>
      </c>
      <c r="BC70" s="3">
        <f t="shared" si="16"/>
        <v>0</v>
      </c>
      <c r="BD70" s="3">
        <f t="shared" si="16"/>
        <v>0</v>
      </c>
      <c r="BE70" s="3">
        <f t="shared" si="16"/>
        <v>0</v>
      </c>
      <c r="BF70" s="3">
        <f t="shared" si="16"/>
        <v>0</v>
      </c>
      <c r="BG70" s="3">
        <f t="shared" si="16"/>
        <v>0</v>
      </c>
      <c r="BH70" s="3">
        <f t="shared" si="16"/>
        <v>0</v>
      </c>
      <c r="BI70" s="3">
        <f t="shared" si="16"/>
        <v>0</v>
      </c>
      <c r="BJ70" s="3">
        <f t="shared" si="16"/>
        <v>0</v>
      </c>
    </row>
    <row r="71" spans="3:62" x14ac:dyDescent="0.15">
      <c r="D71" s="11" t="str">
        <f>Вводные!$D$208</f>
        <v>Ежегодный расход на цели 3</v>
      </c>
      <c r="E71" s="12" t="s">
        <v>110</v>
      </c>
      <c r="I71" s="20">
        <f>Вводные!F208</f>
        <v>0</v>
      </c>
      <c r="J71" s="3">
        <f t="shared" ref="J71:BJ71" si="17">$I71 * J83 * J27</f>
        <v>0</v>
      </c>
      <c r="K71" s="3">
        <f t="shared" si="17"/>
        <v>0</v>
      </c>
      <c r="L71" s="3">
        <f t="shared" si="17"/>
        <v>0</v>
      </c>
      <c r="M71" s="3">
        <f t="shared" si="17"/>
        <v>0</v>
      </c>
      <c r="N71" s="3">
        <f t="shared" si="17"/>
        <v>0</v>
      </c>
      <c r="O71" s="3">
        <f t="shared" si="17"/>
        <v>0</v>
      </c>
      <c r="P71" s="3">
        <f t="shared" si="17"/>
        <v>0</v>
      </c>
      <c r="Q71" s="3">
        <f t="shared" si="17"/>
        <v>0</v>
      </c>
      <c r="R71" s="3">
        <f t="shared" si="17"/>
        <v>0</v>
      </c>
      <c r="S71" s="3">
        <f t="shared" si="17"/>
        <v>0</v>
      </c>
      <c r="T71" s="3">
        <f t="shared" si="17"/>
        <v>0</v>
      </c>
      <c r="U71" s="3">
        <f t="shared" si="17"/>
        <v>0</v>
      </c>
      <c r="V71" s="3">
        <f t="shared" si="17"/>
        <v>0</v>
      </c>
      <c r="W71" s="3">
        <f t="shared" si="17"/>
        <v>0</v>
      </c>
      <c r="X71" s="3">
        <f t="shared" si="17"/>
        <v>0</v>
      </c>
      <c r="Y71" s="3">
        <f t="shared" si="17"/>
        <v>0</v>
      </c>
      <c r="Z71" s="3">
        <f t="shared" si="17"/>
        <v>0</v>
      </c>
      <c r="AA71" s="3">
        <f t="shared" si="17"/>
        <v>0</v>
      </c>
      <c r="AB71" s="3">
        <f t="shared" si="17"/>
        <v>0</v>
      </c>
      <c r="AC71" s="3">
        <f t="shared" si="17"/>
        <v>0</v>
      </c>
      <c r="AD71" s="3">
        <f t="shared" si="17"/>
        <v>0</v>
      </c>
      <c r="AE71" s="3">
        <f t="shared" si="17"/>
        <v>0</v>
      </c>
      <c r="AF71" s="3">
        <f t="shared" si="17"/>
        <v>0</v>
      </c>
      <c r="AG71" s="3">
        <f t="shared" si="17"/>
        <v>0</v>
      </c>
      <c r="AH71" s="3">
        <f t="shared" si="17"/>
        <v>0</v>
      </c>
      <c r="AI71" s="3">
        <f t="shared" si="17"/>
        <v>0</v>
      </c>
      <c r="AJ71" s="3">
        <f t="shared" si="17"/>
        <v>0</v>
      </c>
      <c r="AK71" s="3">
        <f t="shared" si="17"/>
        <v>0</v>
      </c>
      <c r="AL71" s="3">
        <f t="shared" si="17"/>
        <v>0</v>
      </c>
      <c r="AM71" s="3">
        <f t="shared" si="17"/>
        <v>0</v>
      </c>
      <c r="AN71" s="3">
        <f t="shared" si="17"/>
        <v>0</v>
      </c>
      <c r="AO71" s="3">
        <f t="shared" si="17"/>
        <v>0</v>
      </c>
      <c r="AP71" s="3">
        <f t="shared" si="17"/>
        <v>0</v>
      </c>
      <c r="AQ71" s="3">
        <f t="shared" si="17"/>
        <v>0</v>
      </c>
      <c r="AR71" s="3">
        <f t="shared" si="17"/>
        <v>0</v>
      </c>
      <c r="AS71" s="3">
        <f t="shared" si="17"/>
        <v>0</v>
      </c>
      <c r="AT71" s="3">
        <f t="shared" si="17"/>
        <v>0</v>
      </c>
      <c r="AU71" s="3">
        <f t="shared" si="17"/>
        <v>0</v>
      </c>
      <c r="AV71" s="3">
        <f t="shared" si="17"/>
        <v>0</v>
      </c>
      <c r="AW71" s="3">
        <f t="shared" si="17"/>
        <v>0</v>
      </c>
      <c r="AX71" s="3">
        <f t="shared" si="17"/>
        <v>0</v>
      </c>
      <c r="AY71" s="3">
        <f t="shared" si="17"/>
        <v>0</v>
      </c>
      <c r="AZ71" s="3">
        <f t="shared" si="17"/>
        <v>0</v>
      </c>
      <c r="BA71" s="3">
        <f t="shared" si="17"/>
        <v>0</v>
      </c>
      <c r="BB71" s="3">
        <f t="shared" si="17"/>
        <v>0</v>
      </c>
      <c r="BC71" s="3">
        <f t="shared" si="17"/>
        <v>0</v>
      </c>
      <c r="BD71" s="3">
        <f t="shared" si="17"/>
        <v>0</v>
      </c>
      <c r="BE71" s="3">
        <f t="shared" si="17"/>
        <v>0</v>
      </c>
      <c r="BF71" s="3">
        <f t="shared" si="17"/>
        <v>0</v>
      </c>
      <c r="BG71" s="3">
        <f t="shared" si="17"/>
        <v>0</v>
      </c>
      <c r="BH71" s="3">
        <f t="shared" si="17"/>
        <v>0</v>
      </c>
      <c r="BI71" s="3">
        <f t="shared" si="17"/>
        <v>0</v>
      </c>
      <c r="BJ71" s="3">
        <f t="shared" si="17"/>
        <v>0</v>
      </c>
    </row>
    <row r="72" spans="3:62" x14ac:dyDescent="0.15">
      <c r="D72" s="11" t="str">
        <f>Вводные!$D$209</f>
        <v>Ежегодный расход на цели 4</v>
      </c>
      <c r="E72" s="12" t="s">
        <v>110</v>
      </c>
      <c r="I72" s="20">
        <f>Вводные!F209</f>
        <v>0</v>
      </c>
      <c r="J72" s="3">
        <f t="shared" ref="J72:BJ72" si="18">$I72 * J84 * J28</f>
        <v>0</v>
      </c>
      <c r="K72" s="3">
        <f t="shared" si="18"/>
        <v>0</v>
      </c>
      <c r="L72" s="3">
        <f t="shared" si="18"/>
        <v>0</v>
      </c>
      <c r="M72" s="3">
        <f t="shared" si="18"/>
        <v>0</v>
      </c>
      <c r="N72" s="3">
        <f t="shared" si="18"/>
        <v>0</v>
      </c>
      <c r="O72" s="3">
        <f t="shared" si="18"/>
        <v>0</v>
      </c>
      <c r="P72" s="3">
        <f t="shared" si="18"/>
        <v>0</v>
      </c>
      <c r="Q72" s="3">
        <f t="shared" si="18"/>
        <v>0</v>
      </c>
      <c r="R72" s="3">
        <f t="shared" si="18"/>
        <v>0</v>
      </c>
      <c r="S72" s="3">
        <f t="shared" si="18"/>
        <v>0</v>
      </c>
      <c r="T72" s="3">
        <f t="shared" si="18"/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3">
        <f t="shared" si="18"/>
        <v>0</v>
      </c>
      <c r="Y72" s="3">
        <f t="shared" si="18"/>
        <v>0</v>
      </c>
      <c r="Z72" s="3">
        <f t="shared" si="18"/>
        <v>0</v>
      </c>
      <c r="AA72" s="3">
        <f t="shared" si="18"/>
        <v>0</v>
      </c>
      <c r="AB72" s="3">
        <f t="shared" si="18"/>
        <v>0</v>
      </c>
      <c r="AC72" s="3">
        <f t="shared" si="18"/>
        <v>0</v>
      </c>
      <c r="AD72" s="3">
        <f t="shared" si="18"/>
        <v>0</v>
      </c>
      <c r="AE72" s="3">
        <f t="shared" si="18"/>
        <v>0</v>
      </c>
      <c r="AF72" s="3">
        <f t="shared" si="18"/>
        <v>0</v>
      </c>
      <c r="AG72" s="3">
        <f t="shared" si="18"/>
        <v>0</v>
      </c>
      <c r="AH72" s="3">
        <f t="shared" si="18"/>
        <v>0</v>
      </c>
      <c r="AI72" s="3">
        <f t="shared" si="18"/>
        <v>0</v>
      </c>
      <c r="AJ72" s="3">
        <f t="shared" si="18"/>
        <v>0</v>
      </c>
      <c r="AK72" s="3">
        <f t="shared" si="18"/>
        <v>0</v>
      </c>
      <c r="AL72" s="3">
        <f t="shared" si="18"/>
        <v>0</v>
      </c>
      <c r="AM72" s="3">
        <f t="shared" si="18"/>
        <v>0</v>
      </c>
      <c r="AN72" s="3">
        <f t="shared" si="18"/>
        <v>0</v>
      </c>
      <c r="AO72" s="3">
        <f t="shared" si="18"/>
        <v>0</v>
      </c>
      <c r="AP72" s="3">
        <f t="shared" si="18"/>
        <v>0</v>
      </c>
      <c r="AQ72" s="3">
        <f t="shared" si="18"/>
        <v>0</v>
      </c>
      <c r="AR72" s="3">
        <f t="shared" si="18"/>
        <v>0</v>
      </c>
      <c r="AS72" s="3">
        <f t="shared" si="18"/>
        <v>0</v>
      </c>
      <c r="AT72" s="3">
        <f t="shared" si="18"/>
        <v>0</v>
      </c>
      <c r="AU72" s="3">
        <f t="shared" si="18"/>
        <v>0</v>
      </c>
      <c r="AV72" s="3">
        <f t="shared" si="18"/>
        <v>0</v>
      </c>
      <c r="AW72" s="3">
        <f t="shared" si="18"/>
        <v>0</v>
      </c>
      <c r="AX72" s="3">
        <f t="shared" si="18"/>
        <v>0</v>
      </c>
      <c r="AY72" s="3">
        <f t="shared" si="18"/>
        <v>0</v>
      </c>
      <c r="AZ72" s="3">
        <f t="shared" si="18"/>
        <v>0</v>
      </c>
      <c r="BA72" s="3">
        <f t="shared" si="18"/>
        <v>0</v>
      </c>
      <c r="BB72" s="3">
        <f t="shared" si="18"/>
        <v>0</v>
      </c>
      <c r="BC72" s="3">
        <f t="shared" si="18"/>
        <v>0</v>
      </c>
      <c r="BD72" s="3">
        <f t="shared" si="18"/>
        <v>0</v>
      </c>
      <c r="BE72" s="3">
        <f t="shared" si="18"/>
        <v>0</v>
      </c>
      <c r="BF72" s="3">
        <f t="shared" si="18"/>
        <v>0</v>
      </c>
      <c r="BG72" s="3">
        <f t="shared" si="18"/>
        <v>0</v>
      </c>
      <c r="BH72" s="3">
        <f t="shared" si="18"/>
        <v>0</v>
      </c>
      <c r="BI72" s="3">
        <f t="shared" si="18"/>
        <v>0</v>
      </c>
      <c r="BJ72" s="3">
        <f t="shared" si="18"/>
        <v>0</v>
      </c>
    </row>
    <row r="73" spans="3:62" x14ac:dyDescent="0.15">
      <c r="D73" s="11" t="str">
        <f>Вводные!$D$210</f>
        <v>Ежегодный расход на цели 5</v>
      </c>
      <c r="E73" s="12" t="s">
        <v>110</v>
      </c>
      <c r="I73" s="20">
        <f>Вводные!F210</f>
        <v>0</v>
      </c>
      <c r="J73" s="3">
        <f t="shared" ref="J73:BJ73" si="19">$I73 * J85 * J29</f>
        <v>0</v>
      </c>
      <c r="K73" s="3">
        <f t="shared" si="19"/>
        <v>0</v>
      </c>
      <c r="L73" s="3">
        <f t="shared" si="19"/>
        <v>0</v>
      </c>
      <c r="M73" s="3">
        <f t="shared" si="19"/>
        <v>0</v>
      </c>
      <c r="N73" s="3">
        <f t="shared" si="19"/>
        <v>0</v>
      </c>
      <c r="O73" s="3">
        <f t="shared" si="19"/>
        <v>0</v>
      </c>
      <c r="P73" s="3">
        <f t="shared" si="19"/>
        <v>0</v>
      </c>
      <c r="Q73" s="3">
        <f t="shared" si="19"/>
        <v>0</v>
      </c>
      <c r="R73" s="3">
        <f t="shared" si="19"/>
        <v>0</v>
      </c>
      <c r="S73" s="3">
        <f t="shared" si="19"/>
        <v>0</v>
      </c>
      <c r="T73" s="3">
        <f t="shared" si="19"/>
        <v>0</v>
      </c>
      <c r="U73" s="3">
        <f t="shared" si="19"/>
        <v>0</v>
      </c>
      <c r="V73" s="3">
        <f t="shared" si="19"/>
        <v>0</v>
      </c>
      <c r="W73" s="3">
        <f t="shared" si="19"/>
        <v>0</v>
      </c>
      <c r="X73" s="3">
        <f t="shared" si="19"/>
        <v>0</v>
      </c>
      <c r="Y73" s="3">
        <f t="shared" si="19"/>
        <v>0</v>
      </c>
      <c r="Z73" s="3">
        <f t="shared" si="19"/>
        <v>0</v>
      </c>
      <c r="AA73" s="3">
        <f t="shared" si="19"/>
        <v>0</v>
      </c>
      <c r="AB73" s="3">
        <f t="shared" si="19"/>
        <v>0</v>
      </c>
      <c r="AC73" s="3">
        <f t="shared" si="19"/>
        <v>0</v>
      </c>
      <c r="AD73" s="3">
        <f t="shared" si="19"/>
        <v>0</v>
      </c>
      <c r="AE73" s="3">
        <f t="shared" si="19"/>
        <v>0</v>
      </c>
      <c r="AF73" s="3">
        <f t="shared" si="19"/>
        <v>0</v>
      </c>
      <c r="AG73" s="3">
        <f t="shared" si="19"/>
        <v>0</v>
      </c>
      <c r="AH73" s="3">
        <f t="shared" si="19"/>
        <v>0</v>
      </c>
      <c r="AI73" s="3">
        <f t="shared" si="19"/>
        <v>0</v>
      </c>
      <c r="AJ73" s="3">
        <f t="shared" si="19"/>
        <v>0</v>
      </c>
      <c r="AK73" s="3">
        <f t="shared" si="19"/>
        <v>0</v>
      </c>
      <c r="AL73" s="3">
        <f t="shared" si="19"/>
        <v>0</v>
      </c>
      <c r="AM73" s="3">
        <f t="shared" si="19"/>
        <v>0</v>
      </c>
      <c r="AN73" s="3">
        <f t="shared" si="19"/>
        <v>0</v>
      </c>
      <c r="AO73" s="3">
        <f t="shared" si="19"/>
        <v>0</v>
      </c>
      <c r="AP73" s="3">
        <f t="shared" si="19"/>
        <v>0</v>
      </c>
      <c r="AQ73" s="3">
        <f t="shared" si="19"/>
        <v>0</v>
      </c>
      <c r="AR73" s="3">
        <f t="shared" si="19"/>
        <v>0</v>
      </c>
      <c r="AS73" s="3">
        <f t="shared" si="19"/>
        <v>0</v>
      </c>
      <c r="AT73" s="3">
        <f t="shared" si="19"/>
        <v>0</v>
      </c>
      <c r="AU73" s="3">
        <f t="shared" si="19"/>
        <v>0</v>
      </c>
      <c r="AV73" s="3">
        <f t="shared" si="19"/>
        <v>0</v>
      </c>
      <c r="AW73" s="3">
        <f t="shared" si="19"/>
        <v>0</v>
      </c>
      <c r="AX73" s="3">
        <f t="shared" si="19"/>
        <v>0</v>
      </c>
      <c r="AY73" s="3">
        <f t="shared" si="19"/>
        <v>0</v>
      </c>
      <c r="AZ73" s="3">
        <f t="shared" si="19"/>
        <v>0</v>
      </c>
      <c r="BA73" s="3">
        <f t="shared" si="19"/>
        <v>0</v>
      </c>
      <c r="BB73" s="3">
        <f t="shared" si="19"/>
        <v>0</v>
      </c>
      <c r="BC73" s="3">
        <f t="shared" si="19"/>
        <v>0</v>
      </c>
      <c r="BD73" s="3">
        <f t="shared" si="19"/>
        <v>0</v>
      </c>
      <c r="BE73" s="3">
        <f t="shared" si="19"/>
        <v>0</v>
      </c>
      <c r="BF73" s="3">
        <f t="shared" si="19"/>
        <v>0</v>
      </c>
      <c r="BG73" s="3">
        <f t="shared" si="19"/>
        <v>0</v>
      </c>
      <c r="BH73" s="3">
        <f t="shared" si="19"/>
        <v>0</v>
      </c>
      <c r="BI73" s="3">
        <f t="shared" si="19"/>
        <v>0</v>
      </c>
      <c r="BJ73" s="3">
        <f t="shared" si="19"/>
        <v>0</v>
      </c>
    </row>
    <row r="74" spans="3:62" x14ac:dyDescent="0.15">
      <c r="D74" s="11" t="str">
        <f>Вводные!$D$211</f>
        <v>Ежегодный расход на цели 6</v>
      </c>
      <c r="E74" s="12" t="s">
        <v>110</v>
      </c>
      <c r="I74" s="20">
        <f>Вводные!F211</f>
        <v>0</v>
      </c>
      <c r="J74" s="3">
        <f t="shared" ref="J74:BJ74" si="20">$I74 * J86 * J30</f>
        <v>0</v>
      </c>
      <c r="K74" s="3">
        <f t="shared" si="20"/>
        <v>0</v>
      </c>
      <c r="L74" s="3">
        <f t="shared" si="20"/>
        <v>0</v>
      </c>
      <c r="M74" s="3">
        <f t="shared" si="20"/>
        <v>0</v>
      </c>
      <c r="N74" s="3">
        <f t="shared" si="20"/>
        <v>0</v>
      </c>
      <c r="O74" s="3">
        <f t="shared" si="20"/>
        <v>0</v>
      </c>
      <c r="P74" s="3">
        <f t="shared" si="20"/>
        <v>0</v>
      </c>
      <c r="Q74" s="3">
        <f t="shared" si="20"/>
        <v>0</v>
      </c>
      <c r="R74" s="3">
        <f t="shared" si="20"/>
        <v>0</v>
      </c>
      <c r="S74" s="3">
        <f t="shared" si="20"/>
        <v>0</v>
      </c>
      <c r="T74" s="3">
        <f t="shared" si="20"/>
        <v>0</v>
      </c>
      <c r="U74" s="3">
        <f t="shared" si="20"/>
        <v>0</v>
      </c>
      <c r="V74" s="3">
        <f t="shared" si="20"/>
        <v>0</v>
      </c>
      <c r="W74" s="3">
        <f t="shared" si="20"/>
        <v>0</v>
      </c>
      <c r="X74" s="3">
        <f t="shared" si="20"/>
        <v>0</v>
      </c>
      <c r="Y74" s="3">
        <f t="shared" si="20"/>
        <v>0</v>
      </c>
      <c r="Z74" s="3">
        <f t="shared" si="20"/>
        <v>0</v>
      </c>
      <c r="AA74" s="3">
        <f t="shared" si="20"/>
        <v>0</v>
      </c>
      <c r="AB74" s="3">
        <f t="shared" si="20"/>
        <v>0</v>
      </c>
      <c r="AC74" s="3">
        <f t="shared" si="20"/>
        <v>0</v>
      </c>
      <c r="AD74" s="3">
        <f t="shared" si="20"/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3">
        <f t="shared" si="20"/>
        <v>0</v>
      </c>
      <c r="AI74" s="3">
        <f t="shared" si="20"/>
        <v>0</v>
      </c>
      <c r="AJ74" s="3">
        <f t="shared" si="20"/>
        <v>0</v>
      </c>
      <c r="AK74" s="3">
        <f t="shared" si="20"/>
        <v>0</v>
      </c>
      <c r="AL74" s="3">
        <f t="shared" si="20"/>
        <v>0</v>
      </c>
      <c r="AM74" s="3">
        <f t="shared" si="20"/>
        <v>0</v>
      </c>
      <c r="AN74" s="3">
        <f t="shared" si="20"/>
        <v>0</v>
      </c>
      <c r="AO74" s="3">
        <f t="shared" si="20"/>
        <v>0</v>
      </c>
      <c r="AP74" s="3">
        <f t="shared" si="20"/>
        <v>0</v>
      </c>
      <c r="AQ74" s="3">
        <f t="shared" si="20"/>
        <v>0</v>
      </c>
      <c r="AR74" s="3">
        <f t="shared" si="20"/>
        <v>0</v>
      </c>
      <c r="AS74" s="3">
        <f t="shared" si="20"/>
        <v>0</v>
      </c>
      <c r="AT74" s="3">
        <f t="shared" si="20"/>
        <v>0</v>
      </c>
      <c r="AU74" s="3">
        <f t="shared" si="20"/>
        <v>0</v>
      </c>
      <c r="AV74" s="3">
        <f t="shared" si="20"/>
        <v>0</v>
      </c>
      <c r="AW74" s="3">
        <f t="shared" si="20"/>
        <v>0</v>
      </c>
      <c r="AX74" s="3">
        <f t="shared" si="20"/>
        <v>0</v>
      </c>
      <c r="AY74" s="3">
        <f t="shared" si="20"/>
        <v>0</v>
      </c>
      <c r="AZ74" s="3">
        <f t="shared" si="20"/>
        <v>0</v>
      </c>
      <c r="BA74" s="3">
        <f t="shared" si="20"/>
        <v>0</v>
      </c>
      <c r="BB74" s="3">
        <f t="shared" si="20"/>
        <v>0</v>
      </c>
      <c r="BC74" s="3">
        <f t="shared" si="20"/>
        <v>0</v>
      </c>
      <c r="BD74" s="3">
        <f t="shared" si="20"/>
        <v>0</v>
      </c>
      <c r="BE74" s="3">
        <f t="shared" si="20"/>
        <v>0</v>
      </c>
      <c r="BF74" s="3">
        <f t="shared" si="20"/>
        <v>0</v>
      </c>
      <c r="BG74" s="3">
        <f t="shared" si="20"/>
        <v>0</v>
      </c>
      <c r="BH74" s="3">
        <f t="shared" si="20"/>
        <v>0</v>
      </c>
      <c r="BI74" s="3">
        <f t="shared" si="20"/>
        <v>0</v>
      </c>
      <c r="BJ74" s="3">
        <f t="shared" si="20"/>
        <v>0</v>
      </c>
    </row>
    <row r="75" spans="3:62" x14ac:dyDescent="0.15">
      <c r="D75" s="11" t="str">
        <f>Вводные!$D$212</f>
        <v>Ежегодный расход на цели 7</v>
      </c>
      <c r="E75" s="12" t="s">
        <v>110</v>
      </c>
      <c r="I75" s="20">
        <f>Вводные!F212</f>
        <v>0</v>
      </c>
      <c r="J75" s="3">
        <f t="shared" ref="J75:BJ75" si="21">$I75 * J87 * J31</f>
        <v>0</v>
      </c>
      <c r="K75" s="3">
        <f t="shared" si="21"/>
        <v>0</v>
      </c>
      <c r="L75" s="3">
        <f t="shared" si="21"/>
        <v>0</v>
      </c>
      <c r="M75" s="3">
        <f t="shared" si="21"/>
        <v>0</v>
      </c>
      <c r="N75" s="3">
        <f t="shared" si="21"/>
        <v>0</v>
      </c>
      <c r="O75" s="3">
        <f t="shared" si="21"/>
        <v>0</v>
      </c>
      <c r="P75" s="3">
        <f t="shared" si="21"/>
        <v>0</v>
      </c>
      <c r="Q75" s="3">
        <f t="shared" si="21"/>
        <v>0</v>
      </c>
      <c r="R75" s="3">
        <f t="shared" si="21"/>
        <v>0</v>
      </c>
      <c r="S75" s="3">
        <f t="shared" si="21"/>
        <v>0</v>
      </c>
      <c r="T75" s="3">
        <f t="shared" si="21"/>
        <v>0</v>
      </c>
      <c r="U75" s="3">
        <f t="shared" si="21"/>
        <v>0</v>
      </c>
      <c r="V75" s="3">
        <f t="shared" si="21"/>
        <v>0</v>
      </c>
      <c r="W75" s="3">
        <f t="shared" si="21"/>
        <v>0</v>
      </c>
      <c r="X75" s="3">
        <f t="shared" si="21"/>
        <v>0</v>
      </c>
      <c r="Y75" s="3">
        <f t="shared" si="21"/>
        <v>0</v>
      </c>
      <c r="Z75" s="3">
        <f t="shared" si="21"/>
        <v>0</v>
      </c>
      <c r="AA75" s="3">
        <f t="shared" si="21"/>
        <v>0</v>
      </c>
      <c r="AB75" s="3">
        <f t="shared" si="21"/>
        <v>0</v>
      </c>
      <c r="AC75" s="3">
        <f t="shared" si="21"/>
        <v>0</v>
      </c>
      <c r="AD75" s="3">
        <f t="shared" si="21"/>
        <v>0</v>
      </c>
      <c r="AE75" s="3">
        <f t="shared" si="21"/>
        <v>0</v>
      </c>
      <c r="AF75" s="3">
        <f t="shared" si="21"/>
        <v>0</v>
      </c>
      <c r="AG75" s="3">
        <f t="shared" si="21"/>
        <v>0</v>
      </c>
      <c r="AH75" s="3">
        <f t="shared" si="21"/>
        <v>0</v>
      </c>
      <c r="AI75" s="3">
        <f t="shared" si="21"/>
        <v>0</v>
      </c>
      <c r="AJ75" s="3">
        <f t="shared" si="21"/>
        <v>0</v>
      </c>
      <c r="AK75" s="3">
        <f t="shared" si="21"/>
        <v>0</v>
      </c>
      <c r="AL75" s="3">
        <f t="shared" si="21"/>
        <v>0</v>
      </c>
      <c r="AM75" s="3">
        <f t="shared" si="21"/>
        <v>0</v>
      </c>
      <c r="AN75" s="3">
        <f t="shared" si="21"/>
        <v>0</v>
      </c>
      <c r="AO75" s="3">
        <f t="shared" si="21"/>
        <v>0</v>
      </c>
      <c r="AP75" s="3">
        <f t="shared" si="21"/>
        <v>0</v>
      </c>
      <c r="AQ75" s="3">
        <f t="shared" si="21"/>
        <v>0</v>
      </c>
      <c r="AR75" s="3">
        <f t="shared" si="21"/>
        <v>0</v>
      </c>
      <c r="AS75" s="3">
        <f t="shared" si="21"/>
        <v>0</v>
      </c>
      <c r="AT75" s="3">
        <f t="shared" si="21"/>
        <v>0</v>
      </c>
      <c r="AU75" s="3">
        <f t="shared" si="21"/>
        <v>0</v>
      </c>
      <c r="AV75" s="3">
        <f t="shared" si="21"/>
        <v>0</v>
      </c>
      <c r="AW75" s="3">
        <f t="shared" si="21"/>
        <v>0</v>
      </c>
      <c r="AX75" s="3">
        <f t="shared" si="21"/>
        <v>0</v>
      </c>
      <c r="AY75" s="3">
        <f t="shared" si="21"/>
        <v>0</v>
      </c>
      <c r="AZ75" s="3">
        <f t="shared" si="21"/>
        <v>0</v>
      </c>
      <c r="BA75" s="3">
        <f t="shared" si="21"/>
        <v>0</v>
      </c>
      <c r="BB75" s="3">
        <f t="shared" si="21"/>
        <v>0</v>
      </c>
      <c r="BC75" s="3">
        <f t="shared" si="21"/>
        <v>0</v>
      </c>
      <c r="BD75" s="3">
        <f t="shared" si="21"/>
        <v>0</v>
      </c>
      <c r="BE75" s="3">
        <f t="shared" si="21"/>
        <v>0</v>
      </c>
      <c r="BF75" s="3">
        <f t="shared" si="21"/>
        <v>0</v>
      </c>
      <c r="BG75" s="3">
        <f t="shared" si="21"/>
        <v>0</v>
      </c>
      <c r="BH75" s="3">
        <f t="shared" si="21"/>
        <v>0</v>
      </c>
      <c r="BI75" s="3">
        <f t="shared" si="21"/>
        <v>0</v>
      </c>
      <c r="BJ75" s="3">
        <f t="shared" si="21"/>
        <v>0</v>
      </c>
    </row>
    <row r="76" spans="3:62" x14ac:dyDescent="0.15">
      <c r="D76" s="11" t="str">
        <f>Вводные!$D$213</f>
        <v>Ежегодный расход на цели 8</v>
      </c>
      <c r="E76" s="12" t="s">
        <v>110</v>
      </c>
      <c r="I76" s="20">
        <f>Вводные!F213</f>
        <v>0</v>
      </c>
      <c r="J76" s="3">
        <f t="shared" ref="J76:BJ76" si="22">$I76 * J88 * J32</f>
        <v>0</v>
      </c>
      <c r="K76" s="3">
        <f t="shared" si="22"/>
        <v>0</v>
      </c>
      <c r="L76" s="3">
        <f t="shared" si="22"/>
        <v>0</v>
      </c>
      <c r="M76" s="3">
        <f t="shared" si="22"/>
        <v>0</v>
      </c>
      <c r="N76" s="3">
        <f t="shared" si="22"/>
        <v>0</v>
      </c>
      <c r="O76" s="3">
        <f t="shared" si="22"/>
        <v>0</v>
      </c>
      <c r="P76" s="3">
        <f t="shared" si="22"/>
        <v>0</v>
      </c>
      <c r="Q76" s="3">
        <f t="shared" si="22"/>
        <v>0</v>
      </c>
      <c r="R76" s="3">
        <f t="shared" si="22"/>
        <v>0</v>
      </c>
      <c r="S76" s="3">
        <f t="shared" si="22"/>
        <v>0</v>
      </c>
      <c r="T76" s="3">
        <f t="shared" si="22"/>
        <v>0</v>
      </c>
      <c r="U76" s="3">
        <f t="shared" si="22"/>
        <v>0</v>
      </c>
      <c r="V76" s="3">
        <f t="shared" si="22"/>
        <v>0</v>
      </c>
      <c r="W76" s="3">
        <f t="shared" si="22"/>
        <v>0</v>
      </c>
      <c r="X76" s="3">
        <f t="shared" si="22"/>
        <v>0</v>
      </c>
      <c r="Y76" s="3">
        <f t="shared" si="22"/>
        <v>0</v>
      </c>
      <c r="Z76" s="3">
        <f t="shared" si="22"/>
        <v>0</v>
      </c>
      <c r="AA76" s="3">
        <f t="shared" si="22"/>
        <v>0</v>
      </c>
      <c r="AB76" s="3">
        <f t="shared" si="22"/>
        <v>0</v>
      </c>
      <c r="AC76" s="3">
        <f t="shared" si="22"/>
        <v>0</v>
      </c>
      <c r="AD76" s="3">
        <f t="shared" si="22"/>
        <v>0</v>
      </c>
      <c r="AE76" s="3">
        <f t="shared" si="22"/>
        <v>0</v>
      </c>
      <c r="AF76" s="3">
        <f t="shared" si="22"/>
        <v>0</v>
      </c>
      <c r="AG76" s="3">
        <f t="shared" si="22"/>
        <v>0</v>
      </c>
      <c r="AH76" s="3">
        <f t="shared" si="22"/>
        <v>0</v>
      </c>
      <c r="AI76" s="3">
        <f t="shared" si="22"/>
        <v>0</v>
      </c>
      <c r="AJ76" s="3">
        <f t="shared" si="22"/>
        <v>0</v>
      </c>
      <c r="AK76" s="3">
        <f t="shared" si="22"/>
        <v>0</v>
      </c>
      <c r="AL76" s="3">
        <f t="shared" si="22"/>
        <v>0</v>
      </c>
      <c r="AM76" s="3">
        <f t="shared" si="22"/>
        <v>0</v>
      </c>
      <c r="AN76" s="3">
        <f t="shared" si="22"/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3">
        <f t="shared" si="22"/>
        <v>0</v>
      </c>
      <c r="AS76" s="3">
        <f t="shared" si="22"/>
        <v>0</v>
      </c>
      <c r="AT76" s="3">
        <f t="shared" si="22"/>
        <v>0</v>
      </c>
      <c r="AU76" s="3">
        <f t="shared" si="22"/>
        <v>0</v>
      </c>
      <c r="AV76" s="3">
        <f t="shared" si="22"/>
        <v>0</v>
      </c>
      <c r="AW76" s="3">
        <f t="shared" si="22"/>
        <v>0</v>
      </c>
      <c r="AX76" s="3">
        <f t="shared" si="22"/>
        <v>0</v>
      </c>
      <c r="AY76" s="3">
        <f t="shared" si="22"/>
        <v>0</v>
      </c>
      <c r="AZ76" s="3">
        <f t="shared" si="22"/>
        <v>0</v>
      </c>
      <c r="BA76" s="3">
        <f t="shared" si="22"/>
        <v>0</v>
      </c>
      <c r="BB76" s="3">
        <f t="shared" si="22"/>
        <v>0</v>
      </c>
      <c r="BC76" s="3">
        <f t="shared" si="22"/>
        <v>0</v>
      </c>
      <c r="BD76" s="3">
        <f t="shared" si="22"/>
        <v>0</v>
      </c>
      <c r="BE76" s="3">
        <f t="shared" si="22"/>
        <v>0</v>
      </c>
      <c r="BF76" s="3">
        <f t="shared" si="22"/>
        <v>0</v>
      </c>
      <c r="BG76" s="3">
        <f t="shared" si="22"/>
        <v>0</v>
      </c>
      <c r="BH76" s="3">
        <f t="shared" si="22"/>
        <v>0</v>
      </c>
      <c r="BI76" s="3">
        <f t="shared" si="22"/>
        <v>0</v>
      </c>
      <c r="BJ76" s="3">
        <f t="shared" si="22"/>
        <v>0</v>
      </c>
    </row>
    <row r="77" spans="3:62" x14ac:dyDescent="0.15">
      <c r="D77" s="11" t="str">
        <f>Вводные!$D$214</f>
        <v>Ежегодный расход на цели 9</v>
      </c>
      <c r="E77" s="12" t="s">
        <v>110</v>
      </c>
      <c r="I77" s="20">
        <f>Вводные!F214</f>
        <v>0</v>
      </c>
      <c r="J77" s="3">
        <f t="shared" ref="J77:BJ77" si="23">$I77 * J89 * J33</f>
        <v>0</v>
      </c>
      <c r="K77" s="3">
        <f t="shared" si="23"/>
        <v>0</v>
      </c>
      <c r="L77" s="3">
        <f t="shared" si="23"/>
        <v>0</v>
      </c>
      <c r="M77" s="3">
        <f t="shared" si="23"/>
        <v>0</v>
      </c>
      <c r="N77" s="3">
        <f t="shared" si="23"/>
        <v>0</v>
      </c>
      <c r="O77" s="3">
        <f t="shared" si="23"/>
        <v>0</v>
      </c>
      <c r="P77" s="3">
        <f t="shared" si="23"/>
        <v>0</v>
      </c>
      <c r="Q77" s="3">
        <f t="shared" si="23"/>
        <v>0</v>
      </c>
      <c r="R77" s="3">
        <f t="shared" si="23"/>
        <v>0</v>
      </c>
      <c r="S77" s="3">
        <f t="shared" si="23"/>
        <v>0</v>
      </c>
      <c r="T77" s="3">
        <f t="shared" si="23"/>
        <v>0</v>
      </c>
      <c r="U77" s="3">
        <f t="shared" si="23"/>
        <v>0</v>
      </c>
      <c r="V77" s="3">
        <f t="shared" si="23"/>
        <v>0</v>
      </c>
      <c r="W77" s="3">
        <f t="shared" si="23"/>
        <v>0</v>
      </c>
      <c r="X77" s="3">
        <f t="shared" si="23"/>
        <v>0</v>
      </c>
      <c r="Y77" s="3">
        <f t="shared" si="23"/>
        <v>0</v>
      </c>
      <c r="Z77" s="3">
        <f t="shared" si="23"/>
        <v>0</v>
      </c>
      <c r="AA77" s="3">
        <f t="shared" si="23"/>
        <v>0</v>
      </c>
      <c r="AB77" s="3">
        <f t="shared" si="23"/>
        <v>0</v>
      </c>
      <c r="AC77" s="3">
        <f t="shared" si="23"/>
        <v>0</v>
      </c>
      <c r="AD77" s="3">
        <f t="shared" si="23"/>
        <v>0</v>
      </c>
      <c r="AE77" s="3">
        <f t="shared" si="23"/>
        <v>0</v>
      </c>
      <c r="AF77" s="3">
        <f t="shared" si="23"/>
        <v>0</v>
      </c>
      <c r="AG77" s="3">
        <f t="shared" si="23"/>
        <v>0</v>
      </c>
      <c r="AH77" s="3">
        <f t="shared" si="23"/>
        <v>0</v>
      </c>
      <c r="AI77" s="3">
        <f t="shared" si="23"/>
        <v>0</v>
      </c>
      <c r="AJ77" s="3">
        <f t="shared" si="23"/>
        <v>0</v>
      </c>
      <c r="AK77" s="3">
        <f t="shared" si="23"/>
        <v>0</v>
      </c>
      <c r="AL77" s="3">
        <f t="shared" si="23"/>
        <v>0</v>
      </c>
      <c r="AM77" s="3">
        <f t="shared" si="23"/>
        <v>0</v>
      </c>
      <c r="AN77" s="3">
        <f t="shared" si="23"/>
        <v>0</v>
      </c>
      <c r="AO77" s="3">
        <f t="shared" si="23"/>
        <v>0</v>
      </c>
      <c r="AP77" s="3">
        <f t="shared" si="23"/>
        <v>0</v>
      </c>
      <c r="AQ77" s="3">
        <f t="shared" si="23"/>
        <v>0</v>
      </c>
      <c r="AR77" s="3">
        <f t="shared" si="23"/>
        <v>0</v>
      </c>
      <c r="AS77" s="3">
        <f t="shared" si="23"/>
        <v>0</v>
      </c>
      <c r="AT77" s="3">
        <f t="shared" si="23"/>
        <v>0</v>
      </c>
      <c r="AU77" s="3">
        <f t="shared" si="23"/>
        <v>0</v>
      </c>
      <c r="AV77" s="3">
        <f t="shared" si="23"/>
        <v>0</v>
      </c>
      <c r="AW77" s="3">
        <f t="shared" si="23"/>
        <v>0</v>
      </c>
      <c r="AX77" s="3">
        <f t="shared" si="23"/>
        <v>0</v>
      </c>
      <c r="AY77" s="3">
        <f t="shared" si="23"/>
        <v>0</v>
      </c>
      <c r="AZ77" s="3">
        <f t="shared" si="23"/>
        <v>0</v>
      </c>
      <c r="BA77" s="3">
        <f t="shared" si="23"/>
        <v>0</v>
      </c>
      <c r="BB77" s="3">
        <f t="shared" si="23"/>
        <v>0</v>
      </c>
      <c r="BC77" s="3">
        <f t="shared" si="23"/>
        <v>0</v>
      </c>
      <c r="BD77" s="3">
        <f t="shared" si="23"/>
        <v>0</v>
      </c>
      <c r="BE77" s="3">
        <f t="shared" si="23"/>
        <v>0</v>
      </c>
      <c r="BF77" s="3">
        <f t="shared" si="23"/>
        <v>0</v>
      </c>
      <c r="BG77" s="3">
        <f t="shared" si="23"/>
        <v>0</v>
      </c>
      <c r="BH77" s="3">
        <f t="shared" si="23"/>
        <v>0</v>
      </c>
      <c r="BI77" s="3">
        <f t="shared" si="23"/>
        <v>0</v>
      </c>
      <c r="BJ77" s="3">
        <f t="shared" si="23"/>
        <v>0</v>
      </c>
    </row>
    <row r="78" spans="3:62" x14ac:dyDescent="0.15">
      <c r="D78" s="11" t="str">
        <f>Вводные!$D$215</f>
        <v>Ежегодный расход на цели 10</v>
      </c>
      <c r="E78" s="12" t="s">
        <v>110</v>
      </c>
      <c r="I78" s="20">
        <f>Вводные!F215</f>
        <v>0</v>
      </c>
      <c r="J78" s="3">
        <f t="shared" ref="J78:BJ78" si="24">$I78 * J90 * J34</f>
        <v>0</v>
      </c>
      <c r="K78" s="3">
        <f t="shared" si="24"/>
        <v>0</v>
      </c>
      <c r="L78" s="3">
        <f t="shared" si="24"/>
        <v>0</v>
      </c>
      <c r="M78" s="3">
        <f t="shared" si="24"/>
        <v>0</v>
      </c>
      <c r="N78" s="3">
        <f t="shared" si="24"/>
        <v>0</v>
      </c>
      <c r="O78" s="3">
        <f t="shared" si="24"/>
        <v>0</v>
      </c>
      <c r="P78" s="3">
        <f t="shared" si="24"/>
        <v>0</v>
      </c>
      <c r="Q78" s="3">
        <f t="shared" si="24"/>
        <v>0</v>
      </c>
      <c r="R78" s="3">
        <f t="shared" si="24"/>
        <v>0</v>
      </c>
      <c r="S78" s="3">
        <f t="shared" si="24"/>
        <v>0</v>
      </c>
      <c r="T78" s="3">
        <f t="shared" si="24"/>
        <v>0</v>
      </c>
      <c r="U78" s="3">
        <f t="shared" si="24"/>
        <v>0</v>
      </c>
      <c r="V78" s="3">
        <f t="shared" si="24"/>
        <v>0</v>
      </c>
      <c r="W78" s="3">
        <f t="shared" si="24"/>
        <v>0</v>
      </c>
      <c r="X78" s="3">
        <f t="shared" si="24"/>
        <v>0</v>
      </c>
      <c r="Y78" s="3">
        <f t="shared" si="24"/>
        <v>0</v>
      </c>
      <c r="Z78" s="3">
        <f t="shared" si="24"/>
        <v>0</v>
      </c>
      <c r="AA78" s="3">
        <f t="shared" si="24"/>
        <v>0</v>
      </c>
      <c r="AB78" s="3">
        <f t="shared" si="24"/>
        <v>0</v>
      </c>
      <c r="AC78" s="3">
        <f t="shared" si="24"/>
        <v>0</v>
      </c>
      <c r="AD78" s="3">
        <f t="shared" si="24"/>
        <v>0</v>
      </c>
      <c r="AE78" s="3">
        <f t="shared" si="24"/>
        <v>0</v>
      </c>
      <c r="AF78" s="3">
        <f t="shared" si="24"/>
        <v>0</v>
      </c>
      <c r="AG78" s="3">
        <f t="shared" si="24"/>
        <v>0</v>
      </c>
      <c r="AH78" s="3">
        <f t="shared" si="24"/>
        <v>0</v>
      </c>
      <c r="AI78" s="3">
        <f t="shared" si="24"/>
        <v>0</v>
      </c>
      <c r="AJ78" s="3">
        <f t="shared" si="24"/>
        <v>0</v>
      </c>
      <c r="AK78" s="3">
        <f t="shared" si="24"/>
        <v>0</v>
      </c>
      <c r="AL78" s="3">
        <f t="shared" si="24"/>
        <v>0</v>
      </c>
      <c r="AM78" s="3">
        <f t="shared" si="24"/>
        <v>0</v>
      </c>
      <c r="AN78" s="3">
        <f t="shared" si="24"/>
        <v>0</v>
      </c>
      <c r="AO78" s="3">
        <f t="shared" si="24"/>
        <v>0</v>
      </c>
      <c r="AP78" s="3">
        <f t="shared" si="24"/>
        <v>0</v>
      </c>
      <c r="AQ78" s="3">
        <f t="shared" si="24"/>
        <v>0</v>
      </c>
      <c r="AR78" s="3">
        <f t="shared" si="24"/>
        <v>0</v>
      </c>
      <c r="AS78" s="3">
        <f t="shared" si="24"/>
        <v>0</v>
      </c>
      <c r="AT78" s="3">
        <f t="shared" si="24"/>
        <v>0</v>
      </c>
      <c r="AU78" s="3">
        <f t="shared" si="24"/>
        <v>0</v>
      </c>
      <c r="AV78" s="3">
        <f t="shared" si="24"/>
        <v>0</v>
      </c>
      <c r="AW78" s="3">
        <f t="shared" si="24"/>
        <v>0</v>
      </c>
      <c r="AX78" s="3">
        <f t="shared" si="24"/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3">
        <f t="shared" si="24"/>
        <v>0</v>
      </c>
      <c r="BC78" s="3">
        <f t="shared" si="24"/>
        <v>0</v>
      </c>
      <c r="BD78" s="3">
        <f t="shared" si="24"/>
        <v>0</v>
      </c>
      <c r="BE78" s="3">
        <f t="shared" si="24"/>
        <v>0</v>
      </c>
      <c r="BF78" s="3">
        <f t="shared" si="24"/>
        <v>0</v>
      </c>
      <c r="BG78" s="3">
        <f t="shared" si="24"/>
        <v>0</v>
      </c>
      <c r="BH78" s="3">
        <f t="shared" si="24"/>
        <v>0</v>
      </c>
      <c r="BI78" s="3">
        <f t="shared" si="24"/>
        <v>0</v>
      </c>
      <c r="BJ78" s="3">
        <f t="shared" si="24"/>
        <v>0</v>
      </c>
    </row>
    <row r="79" spans="3:62" x14ac:dyDescent="0.15">
      <c r="E79" s="12"/>
    </row>
    <row r="80" spans="3:62" x14ac:dyDescent="0.15">
      <c r="D80" s="8" t="s">
        <v>18</v>
      </c>
      <c r="E80" s="12"/>
    </row>
    <row r="81" spans="4:62" x14ac:dyDescent="0.15">
      <c r="D81" s="9" t="str">
        <f>Вводные!$D$192</f>
        <v>Темп роста Ежемесячный расход на цели 1</v>
      </c>
      <c r="E81" s="12" t="s">
        <v>4</v>
      </c>
      <c r="I81" s="23">
        <v>1</v>
      </c>
      <c r="J81" s="5">
        <f>I81 * (1 + Вводные!J218)</f>
        <v>1</v>
      </c>
      <c r="K81" s="5">
        <f>J81 * (1 + Вводные!K218)</f>
        <v>1.03</v>
      </c>
      <c r="L81" s="5">
        <f>K81 * (1 + Вводные!L218)</f>
        <v>1.0609</v>
      </c>
      <c r="M81" s="5">
        <f>L81 * (1 + Вводные!M218)</f>
        <v>1.092727</v>
      </c>
      <c r="N81" s="5">
        <f>M81 * (1 + Вводные!N218)</f>
        <v>1.1255088100000001</v>
      </c>
      <c r="O81" s="5">
        <f>N81 * (1 + Вводные!O218)</f>
        <v>1.1592740743000001</v>
      </c>
      <c r="P81" s="5">
        <f>O81 * (1 + Вводные!P218)</f>
        <v>1.1940522965290001</v>
      </c>
      <c r="Q81" s="5">
        <f>P81 * (1 + Вводные!Q218)</f>
        <v>1.2298738654248702</v>
      </c>
      <c r="R81" s="5">
        <f>Q81 * (1 + Вводные!R218)</f>
        <v>1.2667700813876164</v>
      </c>
      <c r="S81" s="5">
        <f>R81 * (1 + Вводные!S218)</f>
        <v>1.3047731838292449</v>
      </c>
      <c r="T81" s="5">
        <f>S81 * (1 + Вводные!T218)</f>
        <v>1.3439163793441222</v>
      </c>
      <c r="U81" s="5">
        <f>T81 * (1 + Вводные!U218)</f>
        <v>1.3842338707244459</v>
      </c>
      <c r="V81" s="5">
        <f>U81 * (1 + Вводные!V218)</f>
        <v>1.4257608868461793</v>
      </c>
      <c r="W81" s="5">
        <f>V81 * (1 + Вводные!W218)</f>
        <v>1.4685337134515648</v>
      </c>
      <c r="X81" s="5">
        <f>W81 * (1 + Вводные!X218)</f>
        <v>1.5125897248551119</v>
      </c>
      <c r="Y81" s="5">
        <f>X81 * (1 + Вводные!Y218)</f>
        <v>1.5579674166007653</v>
      </c>
      <c r="Z81" s="5">
        <f>Y81 * (1 + Вводные!Z218)</f>
        <v>1.6047064390987884</v>
      </c>
      <c r="AA81" s="5">
        <f>Z81 * (1 + Вводные!AA218)</f>
        <v>1.652847632271752</v>
      </c>
      <c r="AB81" s="5">
        <f>AA81 * (1 + Вводные!AB218)</f>
        <v>1.7024330612399046</v>
      </c>
      <c r="AC81" s="5">
        <f>AB81 * (1 + Вводные!AC218)</f>
        <v>1.7535060530771018</v>
      </c>
      <c r="AD81" s="5">
        <f>AC81 * (1 + Вводные!AD218)</f>
        <v>1.806111234669415</v>
      </c>
      <c r="AE81" s="5">
        <f>AD81 * (1 + Вводные!AE218)</f>
        <v>1.8602945717094976</v>
      </c>
      <c r="AF81" s="5">
        <f>AE81 * (1 + Вводные!AF218)</f>
        <v>1.9161034088607827</v>
      </c>
      <c r="AG81" s="5">
        <f>AF81 * (1 + Вводные!AG218)</f>
        <v>1.9735865111266062</v>
      </c>
      <c r="AH81" s="5">
        <f>AG81 * (1 + Вводные!AH218)</f>
        <v>2.0327941064604045</v>
      </c>
      <c r="AI81" s="5">
        <f>AH81 * (1 + Вводные!AI218)</f>
        <v>2.0937779296542165</v>
      </c>
      <c r="AJ81" s="5">
        <f>AI81 * (1 + Вводные!AJ218)</f>
        <v>2.1565912675438432</v>
      </c>
      <c r="AK81" s="5">
        <f>AJ81 * (1 + Вводные!AK218)</f>
        <v>2.2212890055701586</v>
      </c>
      <c r="AL81" s="5">
        <f>AK81 * (1 + Вводные!AL218)</f>
        <v>2.2879276757372633</v>
      </c>
      <c r="AM81" s="5">
        <f>AL81 * (1 + Вводные!AM218)</f>
        <v>2.3565655060093813</v>
      </c>
      <c r="AN81" s="5">
        <f>AM81 * (1 + Вводные!AN218)</f>
        <v>2.4272624711896627</v>
      </c>
      <c r="AO81" s="5">
        <f>AN81 * (1 + Вводные!AO218)</f>
        <v>2.5000803453253524</v>
      </c>
      <c r="AP81" s="5">
        <f>AO81 * (1 + Вводные!AP218)</f>
        <v>2.5750827556851132</v>
      </c>
      <c r="AQ81" s="5">
        <f>AP81 * (1 + Вводные!AQ218)</f>
        <v>2.6523352383556666</v>
      </c>
      <c r="AR81" s="5">
        <f>AQ81 * (1 + Вводные!AR218)</f>
        <v>2.7319052955063365</v>
      </c>
      <c r="AS81" s="5">
        <f>AR81 * (1 + Вводные!AS218)</f>
        <v>2.8138624543715265</v>
      </c>
      <c r="AT81" s="5">
        <f>AS81 * (1 + Вводные!AT218)</f>
        <v>2.8982783280026725</v>
      </c>
      <c r="AU81" s="5">
        <f>AT81 * (1 + Вводные!AU218)</f>
        <v>2.9852266778427525</v>
      </c>
      <c r="AV81" s="5">
        <f>AU81 * (1 + Вводные!AV218)</f>
        <v>3.074783478178035</v>
      </c>
      <c r="AW81" s="5">
        <f>AV81 * (1 + Вводные!AW218)</f>
        <v>3.1670269825233763</v>
      </c>
      <c r="AX81" s="5">
        <f>AW81 * (1 + Вводные!AX218)</f>
        <v>3.2620377919990777</v>
      </c>
      <c r="AY81" s="5">
        <f>AX81 * (1 + Вводные!AY218)</f>
        <v>3.3598989257590501</v>
      </c>
      <c r="AZ81" s="5">
        <f>AY81 * (1 + Вводные!AZ218)</f>
        <v>3.4606958935318217</v>
      </c>
      <c r="BA81" s="5">
        <f>AZ81 * (1 + Вводные!BA218)</f>
        <v>3.5645167703377765</v>
      </c>
      <c r="BB81" s="5">
        <f>BA81 * (1 + Вводные!BB218)</f>
        <v>3.67145227344791</v>
      </c>
      <c r="BC81" s="5">
        <f>BB81 * (1 + Вводные!BC218)</f>
        <v>3.7815958416513475</v>
      </c>
      <c r="BD81" s="5">
        <f>BC81 * (1 + Вводные!BD218)</f>
        <v>3.8950437169008882</v>
      </c>
      <c r="BE81" s="5">
        <f>BD81 * (1 + Вводные!BE218)</f>
        <v>4.0118950284079151</v>
      </c>
      <c r="BF81" s="5">
        <f>BE81 * (1 + Вводные!BF218)</f>
        <v>4.1322518792601528</v>
      </c>
      <c r="BG81" s="5">
        <f>BF81 * (1 + Вводные!BG218)</f>
        <v>4.2562194356379575</v>
      </c>
      <c r="BH81" s="5">
        <f>BG81 * (1 + Вводные!BH218)</f>
        <v>4.383906018707096</v>
      </c>
      <c r="BI81" s="5">
        <f>BH81 * (1 + Вводные!BI218)</f>
        <v>4.5154231992683087</v>
      </c>
      <c r="BJ81" s="5">
        <f>BI81 * (1 + Вводные!BJ218)</f>
        <v>4.6508858952463576</v>
      </c>
    </row>
    <row r="82" spans="4:62" x14ac:dyDescent="0.15">
      <c r="D82" s="9" t="str">
        <f>Вводные!$D$193</f>
        <v>Темп роста Ежемесячный расход на цели 2</v>
      </c>
      <c r="E82" s="12" t="s">
        <v>4</v>
      </c>
      <c r="I82" s="23">
        <v>1</v>
      </c>
      <c r="J82" s="5">
        <f>I82 * (1 + Вводные!J219)</f>
        <v>1</v>
      </c>
      <c r="K82" s="5">
        <f>J82 * (1 + Вводные!K219)</f>
        <v>1.03</v>
      </c>
      <c r="L82" s="5">
        <f>K82 * (1 + Вводные!L219)</f>
        <v>1.0609</v>
      </c>
      <c r="M82" s="5">
        <f>L82 * (1 + Вводные!M219)</f>
        <v>1.092727</v>
      </c>
      <c r="N82" s="5">
        <f>M82 * (1 + Вводные!N219)</f>
        <v>1.1255088100000001</v>
      </c>
      <c r="O82" s="5">
        <f>N82 * (1 + Вводные!O219)</f>
        <v>1.1592740743000001</v>
      </c>
      <c r="P82" s="5">
        <f>O82 * (1 + Вводные!P219)</f>
        <v>1.1940522965290001</v>
      </c>
      <c r="Q82" s="5">
        <f>P82 * (1 + Вводные!Q219)</f>
        <v>1.2298738654248702</v>
      </c>
      <c r="R82" s="5">
        <f>Q82 * (1 + Вводные!R219)</f>
        <v>1.2667700813876164</v>
      </c>
      <c r="S82" s="5">
        <f>R82 * (1 + Вводные!S219)</f>
        <v>1.3047731838292449</v>
      </c>
      <c r="T82" s="5">
        <f>S82 * (1 + Вводные!T219)</f>
        <v>1.3439163793441222</v>
      </c>
      <c r="U82" s="5">
        <f>T82 * (1 + Вводные!U219)</f>
        <v>1.3842338707244459</v>
      </c>
      <c r="V82" s="5">
        <f>U82 * (1 + Вводные!V219)</f>
        <v>1.4257608868461793</v>
      </c>
      <c r="W82" s="5">
        <f>V82 * (1 + Вводные!W219)</f>
        <v>1.4685337134515648</v>
      </c>
      <c r="X82" s="5">
        <f>W82 * (1 + Вводные!X219)</f>
        <v>1.5125897248551119</v>
      </c>
      <c r="Y82" s="5">
        <f>X82 * (1 + Вводные!Y219)</f>
        <v>1.5579674166007653</v>
      </c>
      <c r="Z82" s="5">
        <f>Y82 * (1 + Вводные!Z219)</f>
        <v>1.6047064390987884</v>
      </c>
      <c r="AA82" s="5">
        <f>Z82 * (1 + Вводные!AA219)</f>
        <v>1.652847632271752</v>
      </c>
      <c r="AB82" s="5">
        <f>AA82 * (1 + Вводные!AB219)</f>
        <v>1.7024330612399046</v>
      </c>
      <c r="AC82" s="5">
        <f>AB82 * (1 + Вводные!AC219)</f>
        <v>1.7535060530771018</v>
      </c>
      <c r="AD82" s="5">
        <f>AC82 * (1 + Вводные!AD219)</f>
        <v>1.806111234669415</v>
      </c>
      <c r="AE82" s="5">
        <f>AD82 * (1 + Вводные!AE219)</f>
        <v>1.8602945717094976</v>
      </c>
      <c r="AF82" s="5">
        <f>AE82 * (1 + Вводные!AF219)</f>
        <v>1.9161034088607827</v>
      </c>
      <c r="AG82" s="5">
        <f>AF82 * (1 + Вводные!AG219)</f>
        <v>1.9735865111266062</v>
      </c>
      <c r="AH82" s="5">
        <f>AG82 * (1 + Вводные!AH219)</f>
        <v>2.0327941064604045</v>
      </c>
      <c r="AI82" s="5">
        <f>AH82 * (1 + Вводные!AI219)</f>
        <v>2.0937779296542165</v>
      </c>
      <c r="AJ82" s="5">
        <f>AI82 * (1 + Вводные!AJ219)</f>
        <v>2.1565912675438432</v>
      </c>
      <c r="AK82" s="5">
        <f>AJ82 * (1 + Вводные!AK219)</f>
        <v>2.2212890055701586</v>
      </c>
      <c r="AL82" s="5">
        <f>AK82 * (1 + Вводные!AL219)</f>
        <v>2.2879276757372633</v>
      </c>
      <c r="AM82" s="5">
        <f>AL82 * (1 + Вводные!AM219)</f>
        <v>2.3565655060093813</v>
      </c>
      <c r="AN82" s="5">
        <f>AM82 * (1 + Вводные!AN219)</f>
        <v>2.4272624711896627</v>
      </c>
      <c r="AO82" s="5">
        <f>AN82 * (1 + Вводные!AO219)</f>
        <v>2.5000803453253524</v>
      </c>
      <c r="AP82" s="5">
        <f>AO82 * (1 + Вводные!AP219)</f>
        <v>2.5750827556851132</v>
      </c>
      <c r="AQ82" s="5">
        <f>AP82 * (1 + Вводные!AQ219)</f>
        <v>2.6523352383556666</v>
      </c>
      <c r="AR82" s="5">
        <f>AQ82 * (1 + Вводные!AR219)</f>
        <v>2.7319052955063365</v>
      </c>
      <c r="AS82" s="5">
        <f>AR82 * (1 + Вводные!AS219)</f>
        <v>2.8138624543715265</v>
      </c>
      <c r="AT82" s="5">
        <f>AS82 * (1 + Вводные!AT219)</f>
        <v>2.8982783280026725</v>
      </c>
      <c r="AU82" s="5">
        <f>AT82 * (1 + Вводные!AU219)</f>
        <v>2.9852266778427525</v>
      </c>
      <c r="AV82" s="5">
        <f>AU82 * (1 + Вводные!AV219)</f>
        <v>3.074783478178035</v>
      </c>
      <c r="AW82" s="5">
        <f>AV82 * (1 + Вводные!AW219)</f>
        <v>3.1670269825233763</v>
      </c>
      <c r="AX82" s="5">
        <f>AW82 * (1 + Вводные!AX219)</f>
        <v>3.2620377919990777</v>
      </c>
      <c r="AY82" s="5">
        <f>AX82 * (1 + Вводные!AY219)</f>
        <v>3.3598989257590501</v>
      </c>
      <c r="AZ82" s="5">
        <f>AY82 * (1 + Вводные!AZ219)</f>
        <v>3.4606958935318217</v>
      </c>
      <c r="BA82" s="5">
        <f>AZ82 * (1 + Вводные!BA219)</f>
        <v>3.5645167703377765</v>
      </c>
      <c r="BB82" s="5">
        <f>BA82 * (1 + Вводные!BB219)</f>
        <v>3.67145227344791</v>
      </c>
      <c r="BC82" s="5">
        <f>BB82 * (1 + Вводные!BC219)</f>
        <v>3.7815958416513475</v>
      </c>
      <c r="BD82" s="5">
        <f>BC82 * (1 + Вводные!BD219)</f>
        <v>3.8950437169008882</v>
      </c>
      <c r="BE82" s="5">
        <f>BD82 * (1 + Вводные!BE219)</f>
        <v>4.0118950284079151</v>
      </c>
      <c r="BF82" s="5">
        <f>BE82 * (1 + Вводные!BF219)</f>
        <v>4.1322518792601528</v>
      </c>
      <c r="BG82" s="5">
        <f>BF82 * (1 + Вводные!BG219)</f>
        <v>4.2562194356379575</v>
      </c>
      <c r="BH82" s="5">
        <f>BG82 * (1 + Вводные!BH219)</f>
        <v>4.383906018707096</v>
      </c>
      <c r="BI82" s="5">
        <f>BH82 * (1 + Вводные!BI219)</f>
        <v>4.5154231992683087</v>
      </c>
      <c r="BJ82" s="5">
        <f>BI82 * (1 + Вводные!BJ219)</f>
        <v>4.6508858952463576</v>
      </c>
    </row>
    <row r="83" spans="4:62" x14ac:dyDescent="0.15">
      <c r="D83" s="9" t="str">
        <f>Вводные!$D$194</f>
        <v>Темп роста Ежемесячный расход на цели 3</v>
      </c>
      <c r="E83" s="12" t="s">
        <v>4</v>
      </c>
      <c r="I83" s="23">
        <v>1</v>
      </c>
      <c r="J83" s="5">
        <f>I83 * (1 + Вводные!J220)</f>
        <v>1</v>
      </c>
      <c r="K83" s="5">
        <f>J83 * (1 + Вводные!K220)</f>
        <v>1.03</v>
      </c>
      <c r="L83" s="5">
        <f>K83 * (1 + Вводные!L220)</f>
        <v>1.0609</v>
      </c>
      <c r="M83" s="5">
        <f>L83 * (1 + Вводные!M220)</f>
        <v>1.092727</v>
      </c>
      <c r="N83" s="5">
        <f>M83 * (1 + Вводные!N220)</f>
        <v>1.1255088100000001</v>
      </c>
      <c r="O83" s="5">
        <f>N83 * (1 + Вводные!O220)</f>
        <v>1.1592740743000001</v>
      </c>
      <c r="P83" s="5">
        <f>O83 * (1 + Вводные!P220)</f>
        <v>1.1940522965290001</v>
      </c>
      <c r="Q83" s="5">
        <f>P83 * (1 + Вводные!Q220)</f>
        <v>1.2298738654248702</v>
      </c>
      <c r="R83" s="5">
        <f>Q83 * (1 + Вводные!R220)</f>
        <v>1.2667700813876164</v>
      </c>
      <c r="S83" s="5">
        <f>R83 * (1 + Вводные!S220)</f>
        <v>1.3047731838292449</v>
      </c>
      <c r="T83" s="5">
        <f>S83 * (1 + Вводные!T220)</f>
        <v>1.3439163793441222</v>
      </c>
      <c r="U83" s="5">
        <f>T83 * (1 + Вводные!U220)</f>
        <v>1.3842338707244459</v>
      </c>
      <c r="V83" s="5">
        <f>U83 * (1 + Вводные!V220)</f>
        <v>1.4257608868461793</v>
      </c>
      <c r="W83" s="5">
        <f>V83 * (1 + Вводные!W220)</f>
        <v>1.4685337134515648</v>
      </c>
      <c r="X83" s="5">
        <f>W83 * (1 + Вводные!X220)</f>
        <v>1.5125897248551119</v>
      </c>
      <c r="Y83" s="5">
        <f>X83 * (1 + Вводные!Y220)</f>
        <v>1.5579674166007653</v>
      </c>
      <c r="Z83" s="5">
        <f>Y83 * (1 + Вводные!Z220)</f>
        <v>1.6047064390987884</v>
      </c>
      <c r="AA83" s="5">
        <f>Z83 * (1 + Вводные!AA220)</f>
        <v>1.652847632271752</v>
      </c>
      <c r="AB83" s="5">
        <f>AA83 * (1 + Вводные!AB220)</f>
        <v>1.7024330612399046</v>
      </c>
      <c r="AC83" s="5">
        <f>AB83 * (1 + Вводные!AC220)</f>
        <v>1.7535060530771018</v>
      </c>
      <c r="AD83" s="5">
        <f>AC83 * (1 + Вводные!AD220)</f>
        <v>1.806111234669415</v>
      </c>
      <c r="AE83" s="5">
        <f>AD83 * (1 + Вводные!AE220)</f>
        <v>1.8602945717094976</v>
      </c>
      <c r="AF83" s="5">
        <f>AE83 * (1 + Вводные!AF220)</f>
        <v>1.9161034088607827</v>
      </c>
      <c r="AG83" s="5">
        <f>AF83 * (1 + Вводные!AG220)</f>
        <v>1.9735865111266062</v>
      </c>
      <c r="AH83" s="5">
        <f>AG83 * (1 + Вводные!AH220)</f>
        <v>2.0327941064604045</v>
      </c>
      <c r="AI83" s="5">
        <f>AH83 * (1 + Вводные!AI220)</f>
        <v>2.0937779296542165</v>
      </c>
      <c r="AJ83" s="5">
        <f>AI83 * (1 + Вводные!AJ220)</f>
        <v>2.1565912675438432</v>
      </c>
      <c r="AK83" s="5">
        <f>AJ83 * (1 + Вводные!AK220)</f>
        <v>2.2212890055701586</v>
      </c>
      <c r="AL83" s="5">
        <f>AK83 * (1 + Вводные!AL220)</f>
        <v>2.2879276757372633</v>
      </c>
      <c r="AM83" s="5">
        <f>AL83 * (1 + Вводные!AM220)</f>
        <v>2.3565655060093813</v>
      </c>
      <c r="AN83" s="5">
        <f>AM83 * (1 + Вводные!AN220)</f>
        <v>2.4272624711896627</v>
      </c>
      <c r="AO83" s="5">
        <f>AN83 * (1 + Вводные!AO220)</f>
        <v>2.5000803453253524</v>
      </c>
      <c r="AP83" s="5">
        <f>AO83 * (1 + Вводные!AP220)</f>
        <v>2.5750827556851132</v>
      </c>
      <c r="AQ83" s="5">
        <f>AP83 * (1 + Вводные!AQ220)</f>
        <v>2.6523352383556666</v>
      </c>
      <c r="AR83" s="5">
        <f>AQ83 * (1 + Вводные!AR220)</f>
        <v>2.7319052955063365</v>
      </c>
      <c r="AS83" s="5">
        <f>AR83 * (1 + Вводные!AS220)</f>
        <v>2.8138624543715265</v>
      </c>
      <c r="AT83" s="5">
        <f>AS83 * (1 + Вводные!AT220)</f>
        <v>2.8982783280026725</v>
      </c>
      <c r="AU83" s="5">
        <f>AT83 * (1 + Вводные!AU220)</f>
        <v>2.9852266778427525</v>
      </c>
      <c r="AV83" s="5">
        <f>AU83 * (1 + Вводные!AV220)</f>
        <v>3.074783478178035</v>
      </c>
      <c r="AW83" s="5">
        <f>AV83 * (1 + Вводные!AW220)</f>
        <v>3.1670269825233763</v>
      </c>
      <c r="AX83" s="5">
        <f>AW83 * (1 + Вводные!AX220)</f>
        <v>3.2620377919990777</v>
      </c>
      <c r="AY83" s="5">
        <f>AX83 * (1 + Вводные!AY220)</f>
        <v>3.3598989257590501</v>
      </c>
      <c r="AZ83" s="5">
        <f>AY83 * (1 + Вводные!AZ220)</f>
        <v>3.4606958935318217</v>
      </c>
      <c r="BA83" s="5">
        <f>AZ83 * (1 + Вводные!BA220)</f>
        <v>3.5645167703377765</v>
      </c>
      <c r="BB83" s="5">
        <f>BA83 * (1 + Вводные!BB220)</f>
        <v>3.67145227344791</v>
      </c>
      <c r="BC83" s="5">
        <f>BB83 * (1 + Вводные!BC220)</f>
        <v>3.7815958416513475</v>
      </c>
      <c r="BD83" s="5">
        <f>BC83 * (1 + Вводные!BD220)</f>
        <v>3.8950437169008882</v>
      </c>
      <c r="BE83" s="5">
        <f>BD83 * (1 + Вводные!BE220)</f>
        <v>4.0118950284079151</v>
      </c>
      <c r="BF83" s="5">
        <f>BE83 * (1 + Вводные!BF220)</f>
        <v>4.1322518792601528</v>
      </c>
      <c r="BG83" s="5">
        <f>BF83 * (1 + Вводные!BG220)</f>
        <v>4.2562194356379575</v>
      </c>
      <c r="BH83" s="5">
        <f>BG83 * (1 + Вводные!BH220)</f>
        <v>4.383906018707096</v>
      </c>
      <c r="BI83" s="5">
        <f>BH83 * (1 + Вводные!BI220)</f>
        <v>4.5154231992683087</v>
      </c>
      <c r="BJ83" s="5">
        <f>BI83 * (1 + Вводные!BJ220)</f>
        <v>4.6508858952463576</v>
      </c>
    </row>
    <row r="84" spans="4:62" x14ac:dyDescent="0.15">
      <c r="D84" s="9" t="str">
        <f>Вводные!$D$195</f>
        <v>Темп роста Ежемесячный расход на цели 4</v>
      </c>
      <c r="E84" s="12" t="s">
        <v>4</v>
      </c>
      <c r="I84" s="23">
        <v>1</v>
      </c>
      <c r="J84" s="5">
        <f>I84 * (1 + Вводные!J221)</f>
        <v>1</v>
      </c>
      <c r="K84" s="5">
        <f>J84 * (1 + Вводные!K221)</f>
        <v>1.03</v>
      </c>
      <c r="L84" s="5">
        <f>K84 * (1 + Вводные!L221)</f>
        <v>1.0609</v>
      </c>
      <c r="M84" s="5">
        <f>L84 * (1 + Вводные!M221)</f>
        <v>1.092727</v>
      </c>
      <c r="N84" s="5">
        <f>M84 * (1 + Вводные!N221)</f>
        <v>1.1255088100000001</v>
      </c>
      <c r="O84" s="5">
        <f>N84 * (1 + Вводные!O221)</f>
        <v>1.1592740743000001</v>
      </c>
      <c r="P84" s="5">
        <f>O84 * (1 + Вводные!P221)</f>
        <v>1.1940522965290001</v>
      </c>
      <c r="Q84" s="5">
        <f>P84 * (1 + Вводные!Q221)</f>
        <v>1.2298738654248702</v>
      </c>
      <c r="R84" s="5">
        <f>Q84 * (1 + Вводные!R221)</f>
        <v>1.2667700813876164</v>
      </c>
      <c r="S84" s="5">
        <f>R84 * (1 + Вводные!S221)</f>
        <v>1.3047731838292449</v>
      </c>
      <c r="T84" s="5">
        <f>S84 * (1 + Вводные!T221)</f>
        <v>1.3439163793441222</v>
      </c>
      <c r="U84" s="5">
        <f>T84 * (1 + Вводные!U221)</f>
        <v>1.3842338707244459</v>
      </c>
      <c r="V84" s="5">
        <f>U84 * (1 + Вводные!V221)</f>
        <v>1.4257608868461793</v>
      </c>
      <c r="W84" s="5">
        <f>V84 * (1 + Вводные!W221)</f>
        <v>1.4685337134515648</v>
      </c>
      <c r="X84" s="5">
        <f>W84 * (1 + Вводные!X221)</f>
        <v>1.5125897248551119</v>
      </c>
      <c r="Y84" s="5">
        <f>X84 * (1 + Вводные!Y221)</f>
        <v>1.5579674166007653</v>
      </c>
      <c r="Z84" s="5">
        <f>Y84 * (1 + Вводные!Z221)</f>
        <v>1.6047064390987884</v>
      </c>
      <c r="AA84" s="5">
        <f>Z84 * (1 + Вводные!AA221)</f>
        <v>1.652847632271752</v>
      </c>
      <c r="AB84" s="5">
        <f>AA84 * (1 + Вводные!AB221)</f>
        <v>1.7024330612399046</v>
      </c>
      <c r="AC84" s="5">
        <f>AB84 * (1 + Вводные!AC221)</f>
        <v>1.7535060530771018</v>
      </c>
      <c r="AD84" s="5">
        <f>AC84 * (1 + Вводные!AD221)</f>
        <v>1.806111234669415</v>
      </c>
      <c r="AE84" s="5">
        <f>AD84 * (1 + Вводные!AE221)</f>
        <v>1.8602945717094976</v>
      </c>
      <c r="AF84" s="5">
        <f>AE84 * (1 + Вводные!AF221)</f>
        <v>1.9161034088607827</v>
      </c>
      <c r="AG84" s="5">
        <f>AF84 * (1 + Вводные!AG221)</f>
        <v>1.9735865111266062</v>
      </c>
      <c r="AH84" s="5">
        <f>AG84 * (1 + Вводные!AH221)</f>
        <v>2.0327941064604045</v>
      </c>
      <c r="AI84" s="5">
        <f>AH84 * (1 + Вводные!AI221)</f>
        <v>2.0937779296542165</v>
      </c>
      <c r="AJ84" s="5">
        <f>AI84 * (1 + Вводные!AJ221)</f>
        <v>2.1565912675438432</v>
      </c>
      <c r="AK84" s="5">
        <f>AJ84 * (1 + Вводные!AK221)</f>
        <v>2.2212890055701586</v>
      </c>
      <c r="AL84" s="5">
        <f>AK84 * (1 + Вводные!AL221)</f>
        <v>2.2879276757372633</v>
      </c>
      <c r="AM84" s="5">
        <f>AL84 * (1 + Вводные!AM221)</f>
        <v>2.3565655060093813</v>
      </c>
      <c r="AN84" s="5">
        <f>AM84 * (1 + Вводные!AN221)</f>
        <v>2.4272624711896627</v>
      </c>
      <c r="AO84" s="5">
        <f>AN84 * (1 + Вводные!AO221)</f>
        <v>2.5000803453253524</v>
      </c>
      <c r="AP84" s="5">
        <f>AO84 * (1 + Вводные!AP221)</f>
        <v>2.5750827556851132</v>
      </c>
      <c r="AQ84" s="5">
        <f>AP84 * (1 + Вводные!AQ221)</f>
        <v>2.6523352383556666</v>
      </c>
      <c r="AR84" s="5">
        <f>AQ84 * (1 + Вводные!AR221)</f>
        <v>2.7319052955063365</v>
      </c>
      <c r="AS84" s="5">
        <f>AR84 * (1 + Вводные!AS221)</f>
        <v>2.8138624543715265</v>
      </c>
      <c r="AT84" s="5">
        <f>AS84 * (1 + Вводные!AT221)</f>
        <v>2.8982783280026725</v>
      </c>
      <c r="AU84" s="5">
        <f>AT84 * (1 + Вводные!AU221)</f>
        <v>2.9852266778427525</v>
      </c>
      <c r="AV84" s="5">
        <f>AU84 * (1 + Вводные!AV221)</f>
        <v>3.074783478178035</v>
      </c>
      <c r="AW84" s="5">
        <f>AV84 * (1 + Вводные!AW221)</f>
        <v>3.1670269825233763</v>
      </c>
      <c r="AX84" s="5">
        <f>AW84 * (1 + Вводные!AX221)</f>
        <v>3.2620377919990777</v>
      </c>
      <c r="AY84" s="5">
        <f>AX84 * (1 + Вводные!AY221)</f>
        <v>3.3598989257590501</v>
      </c>
      <c r="AZ84" s="5">
        <f>AY84 * (1 + Вводные!AZ221)</f>
        <v>3.4606958935318217</v>
      </c>
      <c r="BA84" s="5">
        <f>AZ84 * (1 + Вводные!BA221)</f>
        <v>3.5645167703377765</v>
      </c>
      <c r="BB84" s="5">
        <f>BA84 * (1 + Вводные!BB221)</f>
        <v>3.67145227344791</v>
      </c>
      <c r="BC84" s="5">
        <f>BB84 * (1 + Вводные!BC221)</f>
        <v>3.7815958416513475</v>
      </c>
      <c r="BD84" s="5">
        <f>BC84 * (1 + Вводные!BD221)</f>
        <v>3.8950437169008882</v>
      </c>
      <c r="BE84" s="5">
        <f>BD84 * (1 + Вводные!BE221)</f>
        <v>4.0118950284079151</v>
      </c>
      <c r="BF84" s="5">
        <f>BE84 * (1 + Вводные!BF221)</f>
        <v>4.1322518792601528</v>
      </c>
      <c r="BG84" s="5">
        <f>BF84 * (1 + Вводные!BG221)</f>
        <v>4.2562194356379575</v>
      </c>
      <c r="BH84" s="5">
        <f>BG84 * (1 + Вводные!BH221)</f>
        <v>4.383906018707096</v>
      </c>
      <c r="BI84" s="5">
        <f>BH84 * (1 + Вводные!BI221)</f>
        <v>4.5154231992683087</v>
      </c>
      <c r="BJ84" s="5">
        <f>BI84 * (1 + Вводные!BJ221)</f>
        <v>4.6508858952463576</v>
      </c>
    </row>
    <row r="85" spans="4:62" x14ac:dyDescent="0.15">
      <c r="D85" s="9" t="str">
        <f>Вводные!$D$196</f>
        <v>Темп роста Ежемесячный расход на цели 5</v>
      </c>
      <c r="E85" s="12" t="s">
        <v>4</v>
      </c>
      <c r="I85" s="23">
        <v>1</v>
      </c>
      <c r="J85" s="5">
        <f>I85 * (1 + Вводные!J222)</f>
        <v>1</v>
      </c>
      <c r="K85" s="5">
        <f>J85 * (1 + Вводные!K222)</f>
        <v>1.03</v>
      </c>
      <c r="L85" s="5">
        <f>K85 * (1 + Вводные!L222)</f>
        <v>1.0609</v>
      </c>
      <c r="M85" s="5">
        <f>L85 * (1 + Вводные!M222)</f>
        <v>1.092727</v>
      </c>
      <c r="N85" s="5">
        <f>M85 * (1 + Вводные!N222)</f>
        <v>1.1255088100000001</v>
      </c>
      <c r="O85" s="5">
        <f>N85 * (1 + Вводные!O222)</f>
        <v>1.1592740743000001</v>
      </c>
      <c r="P85" s="5">
        <f>O85 * (1 + Вводные!P222)</f>
        <v>1.1940522965290001</v>
      </c>
      <c r="Q85" s="5">
        <f>P85 * (1 + Вводные!Q222)</f>
        <v>1.2298738654248702</v>
      </c>
      <c r="R85" s="5">
        <f>Q85 * (1 + Вводные!R222)</f>
        <v>1.2667700813876164</v>
      </c>
      <c r="S85" s="5">
        <f>R85 * (1 + Вводные!S222)</f>
        <v>1.3047731838292449</v>
      </c>
      <c r="T85" s="5">
        <f>S85 * (1 + Вводные!T222)</f>
        <v>1.3439163793441222</v>
      </c>
      <c r="U85" s="5">
        <f>T85 * (1 + Вводные!U222)</f>
        <v>1.3842338707244459</v>
      </c>
      <c r="V85" s="5">
        <f>U85 * (1 + Вводные!V222)</f>
        <v>1.4257608868461793</v>
      </c>
      <c r="W85" s="5">
        <f>V85 * (1 + Вводные!W222)</f>
        <v>1.4685337134515648</v>
      </c>
      <c r="X85" s="5">
        <f>W85 * (1 + Вводные!X222)</f>
        <v>1.5125897248551119</v>
      </c>
      <c r="Y85" s="5">
        <f>X85 * (1 + Вводные!Y222)</f>
        <v>1.5579674166007653</v>
      </c>
      <c r="Z85" s="5">
        <f>Y85 * (1 + Вводные!Z222)</f>
        <v>1.6047064390987884</v>
      </c>
      <c r="AA85" s="5">
        <f>Z85 * (1 + Вводные!AA222)</f>
        <v>1.652847632271752</v>
      </c>
      <c r="AB85" s="5">
        <f>AA85 * (1 + Вводные!AB222)</f>
        <v>1.7024330612399046</v>
      </c>
      <c r="AC85" s="5">
        <f>AB85 * (1 + Вводные!AC222)</f>
        <v>1.7535060530771018</v>
      </c>
      <c r="AD85" s="5">
        <f>AC85 * (1 + Вводные!AD222)</f>
        <v>1.806111234669415</v>
      </c>
      <c r="AE85" s="5">
        <f>AD85 * (1 + Вводные!AE222)</f>
        <v>1.8602945717094976</v>
      </c>
      <c r="AF85" s="5">
        <f>AE85 * (1 + Вводные!AF222)</f>
        <v>1.9161034088607827</v>
      </c>
      <c r="AG85" s="5">
        <f>AF85 * (1 + Вводные!AG222)</f>
        <v>1.9735865111266062</v>
      </c>
      <c r="AH85" s="5">
        <f>AG85 * (1 + Вводные!AH222)</f>
        <v>2.0327941064604045</v>
      </c>
      <c r="AI85" s="5">
        <f>AH85 * (1 + Вводные!AI222)</f>
        <v>2.0937779296542165</v>
      </c>
      <c r="AJ85" s="5">
        <f>AI85 * (1 + Вводные!AJ222)</f>
        <v>2.1565912675438432</v>
      </c>
      <c r="AK85" s="5">
        <f>AJ85 * (1 + Вводные!AK222)</f>
        <v>2.2212890055701586</v>
      </c>
      <c r="AL85" s="5">
        <f>AK85 * (1 + Вводные!AL222)</f>
        <v>2.2879276757372633</v>
      </c>
      <c r="AM85" s="5">
        <f>AL85 * (1 + Вводные!AM222)</f>
        <v>2.3565655060093813</v>
      </c>
      <c r="AN85" s="5">
        <f>AM85 * (1 + Вводные!AN222)</f>
        <v>2.4272624711896627</v>
      </c>
      <c r="AO85" s="5">
        <f>AN85 * (1 + Вводные!AO222)</f>
        <v>2.5000803453253524</v>
      </c>
      <c r="AP85" s="5">
        <f>AO85 * (1 + Вводные!AP222)</f>
        <v>2.5750827556851132</v>
      </c>
      <c r="AQ85" s="5">
        <f>AP85 * (1 + Вводные!AQ222)</f>
        <v>2.6523352383556666</v>
      </c>
      <c r="AR85" s="5">
        <f>AQ85 * (1 + Вводные!AR222)</f>
        <v>2.7319052955063365</v>
      </c>
      <c r="AS85" s="5">
        <f>AR85 * (1 + Вводные!AS222)</f>
        <v>2.8138624543715265</v>
      </c>
      <c r="AT85" s="5">
        <f>AS85 * (1 + Вводные!AT222)</f>
        <v>2.8982783280026725</v>
      </c>
      <c r="AU85" s="5">
        <f>AT85 * (1 + Вводные!AU222)</f>
        <v>2.9852266778427525</v>
      </c>
      <c r="AV85" s="5">
        <f>AU85 * (1 + Вводные!AV222)</f>
        <v>3.074783478178035</v>
      </c>
      <c r="AW85" s="5">
        <f>AV85 * (1 + Вводные!AW222)</f>
        <v>3.1670269825233763</v>
      </c>
      <c r="AX85" s="5">
        <f>AW85 * (1 + Вводные!AX222)</f>
        <v>3.2620377919990777</v>
      </c>
      <c r="AY85" s="5">
        <f>AX85 * (1 + Вводные!AY222)</f>
        <v>3.3598989257590501</v>
      </c>
      <c r="AZ85" s="5">
        <f>AY85 * (1 + Вводные!AZ222)</f>
        <v>3.4606958935318217</v>
      </c>
      <c r="BA85" s="5">
        <f>AZ85 * (1 + Вводные!BA222)</f>
        <v>3.5645167703377765</v>
      </c>
      <c r="BB85" s="5">
        <f>BA85 * (1 + Вводные!BB222)</f>
        <v>3.67145227344791</v>
      </c>
      <c r="BC85" s="5">
        <f>BB85 * (1 + Вводные!BC222)</f>
        <v>3.7815958416513475</v>
      </c>
      <c r="BD85" s="5">
        <f>BC85 * (1 + Вводные!BD222)</f>
        <v>3.8950437169008882</v>
      </c>
      <c r="BE85" s="5">
        <f>BD85 * (1 + Вводные!BE222)</f>
        <v>4.0118950284079151</v>
      </c>
      <c r="BF85" s="5">
        <f>BE85 * (1 + Вводные!BF222)</f>
        <v>4.1322518792601528</v>
      </c>
      <c r="BG85" s="5">
        <f>BF85 * (1 + Вводные!BG222)</f>
        <v>4.2562194356379575</v>
      </c>
      <c r="BH85" s="5">
        <f>BG85 * (1 + Вводные!BH222)</f>
        <v>4.383906018707096</v>
      </c>
      <c r="BI85" s="5">
        <f>BH85 * (1 + Вводные!BI222)</f>
        <v>4.5154231992683087</v>
      </c>
      <c r="BJ85" s="5">
        <f>BI85 * (1 + Вводные!BJ222)</f>
        <v>4.6508858952463576</v>
      </c>
    </row>
    <row r="86" spans="4:62" x14ac:dyDescent="0.15">
      <c r="D86" s="9" t="str">
        <f>Вводные!$D$197</f>
        <v>Темп роста Ежемесячный расход на цели 6</v>
      </c>
      <c r="E86" s="12" t="s">
        <v>4</v>
      </c>
      <c r="I86" s="23">
        <v>1</v>
      </c>
      <c r="J86" s="5">
        <f>I86 * (1 + Вводные!J223)</f>
        <v>1</v>
      </c>
      <c r="K86" s="5">
        <f>J86 * (1 + Вводные!K223)</f>
        <v>1.03</v>
      </c>
      <c r="L86" s="5">
        <f>K86 * (1 + Вводные!L223)</f>
        <v>1.0609</v>
      </c>
      <c r="M86" s="5">
        <f>L86 * (1 + Вводные!M223)</f>
        <v>1.092727</v>
      </c>
      <c r="N86" s="5">
        <f>M86 * (1 + Вводные!N223)</f>
        <v>1.1255088100000001</v>
      </c>
      <c r="O86" s="5">
        <f>N86 * (1 + Вводные!O223)</f>
        <v>1.1592740743000001</v>
      </c>
      <c r="P86" s="5">
        <f>O86 * (1 + Вводные!P223)</f>
        <v>1.1940522965290001</v>
      </c>
      <c r="Q86" s="5">
        <f>P86 * (1 + Вводные!Q223)</f>
        <v>1.2298738654248702</v>
      </c>
      <c r="R86" s="5">
        <f>Q86 * (1 + Вводные!R223)</f>
        <v>1.2667700813876164</v>
      </c>
      <c r="S86" s="5">
        <f>R86 * (1 + Вводные!S223)</f>
        <v>1.3047731838292449</v>
      </c>
      <c r="T86" s="5">
        <f>S86 * (1 + Вводные!T223)</f>
        <v>1.3439163793441222</v>
      </c>
      <c r="U86" s="5">
        <f>T86 * (1 + Вводные!U223)</f>
        <v>1.3842338707244459</v>
      </c>
      <c r="V86" s="5">
        <f>U86 * (1 + Вводные!V223)</f>
        <v>1.4257608868461793</v>
      </c>
      <c r="W86" s="5">
        <f>V86 * (1 + Вводные!W223)</f>
        <v>1.4685337134515648</v>
      </c>
      <c r="X86" s="5">
        <f>W86 * (1 + Вводные!X223)</f>
        <v>1.5125897248551119</v>
      </c>
      <c r="Y86" s="5">
        <f>X86 * (1 + Вводные!Y223)</f>
        <v>1.5579674166007653</v>
      </c>
      <c r="Z86" s="5">
        <f>Y86 * (1 + Вводные!Z223)</f>
        <v>1.6047064390987884</v>
      </c>
      <c r="AA86" s="5">
        <f>Z86 * (1 + Вводные!AA223)</f>
        <v>1.652847632271752</v>
      </c>
      <c r="AB86" s="5">
        <f>AA86 * (1 + Вводные!AB223)</f>
        <v>1.7024330612399046</v>
      </c>
      <c r="AC86" s="5">
        <f>AB86 * (1 + Вводные!AC223)</f>
        <v>1.7535060530771018</v>
      </c>
      <c r="AD86" s="5">
        <f>AC86 * (1 + Вводные!AD223)</f>
        <v>1.806111234669415</v>
      </c>
      <c r="AE86" s="5">
        <f>AD86 * (1 + Вводные!AE223)</f>
        <v>1.8602945717094976</v>
      </c>
      <c r="AF86" s="5">
        <f>AE86 * (1 + Вводные!AF223)</f>
        <v>1.9161034088607827</v>
      </c>
      <c r="AG86" s="5">
        <f>AF86 * (1 + Вводные!AG223)</f>
        <v>1.9735865111266062</v>
      </c>
      <c r="AH86" s="5">
        <f>AG86 * (1 + Вводные!AH223)</f>
        <v>2.0327941064604045</v>
      </c>
      <c r="AI86" s="5">
        <f>AH86 * (1 + Вводные!AI223)</f>
        <v>2.0937779296542165</v>
      </c>
      <c r="AJ86" s="5">
        <f>AI86 * (1 + Вводные!AJ223)</f>
        <v>2.1565912675438432</v>
      </c>
      <c r="AK86" s="5">
        <f>AJ86 * (1 + Вводные!AK223)</f>
        <v>2.2212890055701586</v>
      </c>
      <c r="AL86" s="5">
        <f>AK86 * (1 + Вводные!AL223)</f>
        <v>2.2879276757372633</v>
      </c>
      <c r="AM86" s="5">
        <f>AL86 * (1 + Вводные!AM223)</f>
        <v>2.3565655060093813</v>
      </c>
      <c r="AN86" s="5">
        <f>AM86 * (1 + Вводные!AN223)</f>
        <v>2.4272624711896627</v>
      </c>
      <c r="AO86" s="5">
        <f>AN86 * (1 + Вводные!AO223)</f>
        <v>2.5000803453253524</v>
      </c>
      <c r="AP86" s="5">
        <f>AO86 * (1 + Вводные!AP223)</f>
        <v>2.5750827556851132</v>
      </c>
      <c r="AQ86" s="5">
        <f>AP86 * (1 + Вводные!AQ223)</f>
        <v>2.6523352383556666</v>
      </c>
      <c r="AR86" s="5">
        <f>AQ86 * (1 + Вводные!AR223)</f>
        <v>2.7319052955063365</v>
      </c>
      <c r="AS86" s="5">
        <f>AR86 * (1 + Вводные!AS223)</f>
        <v>2.8138624543715265</v>
      </c>
      <c r="AT86" s="5">
        <f>AS86 * (1 + Вводные!AT223)</f>
        <v>2.8982783280026725</v>
      </c>
      <c r="AU86" s="5">
        <f>AT86 * (1 + Вводные!AU223)</f>
        <v>2.9852266778427525</v>
      </c>
      <c r="AV86" s="5">
        <f>AU86 * (1 + Вводные!AV223)</f>
        <v>3.074783478178035</v>
      </c>
      <c r="AW86" s="5">
        <f>AV86 * (1 + Вводные!AW223)</f>
        <v>3.1670269825233763</v>
      </c>
      <c r="AX86" s="5">
        <f>AW86 * (1 + Вводные!AX223)</f>
        <v>3.2620377919990777</v>
      </c>
      <c r="AY86" s="5">
        <f>AX86 * (1 + Вводные!AY223)</f>
        <v>3.3598989257590501</v>
      </c>
      <c r="AZ86" s="5">
        <f>AY86 * (1 + Вводные!AZ223)</f>
        <v>3.4606958935318217</v>
      </c>
      <c r="BA86" s="5">
        <f>AZ86 * (1 + Вводные!BA223)</f>
        <v>3.5645167703377765</v>
      </c>
      <c r="BB86" s="5">
        <f>BA86 * (1 + Вводные!BB223)</f>
        <v>3.67145227344791</v>
      </c>
      <c r="BC86" s="5">
        <f>BB86 * (1 + Вводные!BC223)</f>
        <v>3.7815958416513475</v>
      </c>
      <c r="BD86" s="5">
        <f>BC86 * (1 + Вводные!BD223)</f>
        <v>3.8950437169008882</v>
      </c>
      <c r="BE86" s="5">
        <f>BD86 * (1 + Вводные!BE223)</f>
        <v>4.0118950284079151</v>
      </c>
      <c r="BF86" s="5">
        <f>BE86 * (1 + Вводные!BF223)</f>
        <v>4.1322518792601528</v>
      </c>
      <c r="BG86" s="5">
        <f>BF86 * (1 + Вводные!BG223)</f>
        <v>4.2562194356379575</v>
      </c>
      <c r="BH86" s="5">
        <f>BG86 * (1 + Вводные!BH223)</f>
        <v>4.383906018707096</v>
      </c>
      <c r="BI86" s="5">
        <f>BH86 * (1 + Вводные!BI223)</f>
        <v>4.5154231992683087</v>
      </c>
      <c r="BJ86" s="5">
        <f>BI86 * (1 + Вводные!BJ223)</f>
        <v>4.6508858952463576</v>
      </c>
    </row>
    <row r="87" spans="4:62" x14ac:dyDescent="0.15">
      <c r="D87" s="9" t="str">
        <f>Вводные!$D$198</f>
        <v>Темп роста Ежемесячный расход на цели 7</v>
      </c>
      <c r="E87" s="12" t="s">
        <v>4</v>
      </c>
      <c r="I87" s="23">
        <v>1</v>
      </c>
      <c r="J87" s="5">
        <f>I87 * (1 + Вводные!J224)</f>
        <v>1</v>
      </c>
      <c r="K87" s="5">
        <f>J87 * (1 + Вводные!K224)</f>
        <v>1.03</v>
      </c>
      <c r="L87" s="5">
        <f>K87 * (1 + Вводные!L224)</f>
        <v>1.0609</v>
      </c>
      <c r="M87" s="5">
        <f>L87 * (1 + Вводные!M224)</f>
        <v>1.092727</v>
      </c>
      <c r="N87" s="5">
        <f>M87 * (1 + Вводные!N224)</f>
        <v>1.1255088100000001</v>
      </c>
      <c r="O87" s="5">
        <f>N87 * (1 + Вводные!O224)</f>
        <v>1.1592740743000001</v>
      </c>
      <c r="P87" s="5">
        <f>O87 * (1 + Вводные!P224)</f>
        <v>1.1940522965290001</v>
      </c>
      <c r="Q87" s="5">
        <f>P87 * (1 + Вводные!Q224)</f>
        <v>1.2298738654248702</v>
      </c>
      <c r="R87" s="5">
        <f>Q87 * (1 + Вводные!R224)</f>
        <v>1.2667700813876164</v>
      </c>
      <c r="S87" s="5">
        <f>R87 * (1 + Вводные!S224)</f>
        <v>1.3047731838292449</v>
      </c>
      <c r="T87" s="5">
        <f>S87 * (1 + Вводные!T224)</f>
        <v>1.3439163793441222</v>
      </c>
      <c r="U87" s="5">
        <f>T87 * (1 + Вводные!U224)</f>
        <v>1.3842338707244459</v>
      </c>
      <c r="V87" s="5">
        <f>U87 * (1 + Вводные!V224)</f>
        <v>1.4257608868461793</v>
      </c>
      <c r="W87" s="5">
        <f>V87 * (1 + Вводные!W224)</f>
        <v>1.4685337134515648</v>
      </c>
      <c r="X87" s="5">
        <f>W87 * (1 + Вводные!X224)</f>
        <v>1.5125897248551119</v>
      </c>
      <c r="Y87" s="5">
        <f>X87 * (1 + Вводные!Y224)</f>
        <v>1.5579674166007653</v>
      </c>
      <c r="Z87" s="5">
        <f>Y87 * (1 + Вводные!Z224)</f>
        <v>1.6047064390987884</v>
      </c>
      <c r="AA87" s="5">
        <f>Z87 * (1 + Вводные!AA224)</f>
        <v>1.652847632271752</v>
      </c>
      <c r="AB87" s="5">
        <f>AA87 * (1 + Вводные!AB224)</f>
        <v>1.7024330612399046</v>
      </c>
      <c r="AC87" s="5">
        <f>AB87 * (1 + Вводные!AC224)</f>
        <v>1.7535060530771018</v>
      </c>
      <c r="AD87" s="5">
        <f>AC87 * (1 + Вводные!AD224)</f>
        <v>1.806111234669415</v>
      </c>
      <c r="AE87" s="5">
        <f>AD87 * (1 + Вводные!AE224)</f>
        <v>1.8602945717094976</v>
      </c>
      <c r="AF87" s="5">
        <f>AE87 * (1 + Вводные!AF224)</f>
        <v>1.9161034088607827</v>
      </c>
      <c r="AG87" s="5">
        <f>AF87 * (1 + Вводные!AG224)</f>
        <v>1.9735865111266062</v>
      </c>
      <c r="AH87" s="5">
        <f>AG87 * (1 + Вводные!AH224)</f>
        <v>2.0327941064604045</v>
      </c>
      <c r="AI87" s="5">
        <f>AH87 * (1 + Вводные!AI224)</f>
        <v>2.0937779296542165</v>
      </c>
      <c r="AJ87" s="5">
        <f>AI87 * (1 + Вводные!AJ224)</f>
        <v>2.1565912675438432</v>
      </c>
      <c r="AK87" s="5">
        <f>AJ87 * (1 + Вводные!AK224)</f>
        <v>2.2212890055701586</v>
      </c>
      <c r="AL87" s="5">
        <f>AK87 * (1 + Вводные!AL224)</f>
        <v>2.2879276757372633</v>
      </c>
      <c r="AM87" s="5">
        <f>AL87 * (1 + Вводные!AM224)</f>
        <v>2.3565655060093813</v>
      </c>
      <c r="AN87" s="5">
        <f>AM87 * (1 + Вводные!AN224)</f>
        <v>2.4272624711896627</v>
      </c>
      <c r="AO87" s="5">
        <f>AN87 * (1 + Вводные!AO224)</f>
        <v>2.5000803453253524</v>
      </c>
      <c r="AP87" s="5">
        <f>AO87 * (1 + Вводные!AP224)</f>
        <v>2.5750827556851132</v>
      </c>
      <c r="AQ87" s="5">
        <f>AP87 * (1 + Вводные!AQ224)</f>
        <v>2.6523352383556666</v>
      </c>
      <c r="AR87" s="5">
        <f>AQ87 * (1 + Вводные!AR224)</f>
        <v>2.7319052955063365</v>
      </c>
      <c r="AS87" s="5">
        <f>AR87 * (1 + Вводные!AS224)</f>
        <v>2.8138624543715265</v>
      </c>
      <c r="AT87" s="5">
        <f>AS87 * (1 + Вводные!AT224)</f>
        <v>2.8982783280026725</v>
      </c>
      <c r="AU87" s="5">
        <f>AT87 * (1 + Вводные!AU224)</f>
        <v>2.9852266778427525</v>
      </c>
      <c r="AV87" s="5">
        <f>AU87 * (1 + Вводные!AV224)</f>
        <v>3.074783478178035</v>
      </c>
      <c r="AW87" s="5">
        <f>AV87 * (1 + Вводные!AW224)</f>
        <v>3.1670269825233763</v>
      </c>
      <c r="AX87" s="5">
        <f>AW87 * (1 + Вводные!AX224)</f>
        <v>3.2620377919990777</v>
      </c>
      <c r="AY87" s="5">
        <f>AX87 * (1 + Вводные!AY224)</f>
        <v>3.3598989257590501</v>
      </c>
      <c r="AZ87" s="5">
        <f>AY87 * (1 + Вводные!AZ224)</f>
        <v>3.4606958935318217</v>
      </c>
      <c r="BA87" s="5">
        <f>AZ87 * (1 + Вводные!BA224)</f>
        <v>3.5645167703377765</v>
      </c>
      <c r="BB87" s="5">
        <f>BA87 * (1 + Вводные!BB224)</f>
        <v>3.67145227344791</v>
      </c>
      <c r="BC87" s="5">
        <f>BB87 * (1 + Вводные!BC224)</f>
        <v>3.7815958416513475</v>
      </c>
      <c r="BD87" s="5">
        <f>BC87 * (1 + Вводные!BD224)</f>
        <v>3.8950437169008882</v>
      </c>
      <c r="BE87" s="5">
        <f>BD87 * (1 + Вводные!BE224)</f>
        <v>4.0118950284079151</v>
      </c>
      <c r="BF87" s="5">
        <f>BE87 * (1 + Вводные!BF224)</f>
        <v>4.1322518792601528</v>
      </c>
      <c r="BG87" s="5">
        <f>BF87 * (1 + Вводные!BG224)</f>
        <v>4.2562194356379575</v>
      </c>
      <c r="BH87" s="5">
        <f>BG87 * (1 + Вводные!BH224)</f>
        <v>4.383906018707096</v>
      </c>
      <c r="BI87" s="5">
        <f>BH87 * (1 + Вводные!BI224)</f>
        <v>4.5154231992683087</v>
      </c>
      <c r="BJ87" s="5">
        <f>BI87 * (1 + Вводные!BJ224)</f>
        <v>4.6508858952463576</v>
      </c>
    </row>
    <row r="88" spans="4:62" x14ac:dyDescent="0.15">
      <c r="D88" s="9" t="str">
        <f>Вводные!$D$199</f>
        <v>Темп роста Ежемесячный расход на цели 8</v>
      </c>
      <c r="E88" s="12" t="s">
        <v>4</v>
      </c>
      <c r="I88" s="23">
        <v>1</v>
      </c>
      <c r="J88" s="5">
        <f>I88 * (1 + Вводные!J225)</f>
        <v>1</v>
      </c>
      <c r="K88" s="5">
        <f>J88 * (1 + Вводные!K225)</f>
        <v>1.03</v>
      </c>
      <c r="L88" s="5">
        <f>K88 * (1 + Вводные!L225)</f>
        <v>1.0609</v>
      </c>
      <c r="M88" s="5">
        <f>L88 * (1 + Вводные!M225)</f>
        <v>1.092727</v>
      </c>
      <c r="N88" s="5">
        <f>M88 * (1 + Вводные!N225)</f>
        <v>1.1255088100000001</v>
      </c>
      <c r="O88" s="5">
        <f>N88 * (1 + Вводные!O225)</f>
        <v>1.1592740743000001</v>
      </c>
      <c r="P88" s="5">
        <f>O88 * (1 + Вводные!P225)</f>
        <v>1.1940522965290001</v>
      </c>
      <c r="Q88" s="5">
        <f>P88 * (1 + Вводные!Q225)</f>
        <v>1.2298738654248702</v>
      </c>
      <c r="R88" s="5">
        <f>Q88 * (1 + Вводные!R225)</f>
        <v>1.2667700813876164</v>
      </c>
      <c r="S88" s="5">
        <f>R88 * (1 + Вводные!S225)</f>
        <v>1.3047731838292449</v>
      </c>
      <c r="T88" s="5">
        <f>S88 * (1 + Вводные!T225)</f>
        <v>1.3439163793441222</v>
      </c>
      <c r="U88" s="5">
        <f>T88 * (1 + Вводные!U225)</f>
        <v>1.3842338707244459</v>
      </c>
      <c r="V88" s="5">
        <f>U88 * (1 + Вводные!V225)</f>
        <v>1.4257608868461793</v>
      </c>
      <c r="W88" s="5">
        <f>V88 * (1 + Вводные!W225)</f>
        <v>1.4685337134515648</v>
      </c>
      <c r="X88" s="5">
        <f>W88 * (1 + Вводные!X225)</f>
        <v>1.5125897248551119</v>
      </c>
      <c r="Y88" s="5">
        <f>X88 * (1 + Вводные!Y225)</f>
        <v>1.5579674166007653</v>
      </c>
      <c r="Z88" s="5">
        <f>Y88 * (1 + Вводные!Z225)</f>
        <v>1.6047064390987884</v>
      </c>
      <c r="AA88" s="5">
        <f>Z88 * (1 + Вводные!AA225)</f>
        <v>1.652847632271752</v>
      </c>
      <c r="AB88" s="5">
        <f>AA88 * (1 + Вводные!AB225)</f>
        <v>1.7024330612399046</v>
      </c>
      <c r="AC88" s="5">
        <f>AB88 * (1 + Вводные!AC225)</f>
        <v>1.7535060530771018</v>
      </c>
      <c r="AD88" s="5">
        <f>AC88 * (1 + Вводные!AD225)</f>
        <v>1.806111234669415</v>
      </c>
      <c r="AE88" s="5">
        <f>AD88 * (1 + Вводные!AE225)</f>
        <v>1.8602945717094976</v>
      </c>
      <c r="AF88" s="5">
        <f>AE88 * (1 + Вводные!AF225)</f>
        <v>1.9161034088607827</v>
      </c>
      <c r="AG88" s="5">
        <f>AF88 * (1 + Вводные!AG225)</f>
        <v>1.9735865111266062</v>
      </c>
      <c r="AH88" s="5">
        <f>AG88 * (1 + Вводные!AH225)</f>
        <v>2.0327941064604045</v>
      </c>
      <c r="AI88" s="5">
        <f>AH88 * (1 + Вводные!AI225)</f>
        <v>2.0937779296542165</v>
      </c>
      <c r="AJ88" s="5">
        <f>AI88 * (1 + Вводные!AJ225)</f>
        <v>2.1565912675438432</v>
      </c>
      <c r="AK88" s="5">
        <f>AJ88 * (1 + Вводные!AK225)</f>
        <v>2.2212890055701586</v>
      </c>
      <c r="AL88" s="5">
        <f>AK88 * (1 + Вводные!AL225)</f>
        <v>2.2879276757372633</v>
      </c>
      <c r="AM88" s="5">
        <f>AL88 * (1 + Вводные!AM225)</f>
        <v>2.3565655060093813</v>
      </c>
      <c r="AN88" s="5">
        <f>AM88 * (1 + Вводные!AN225)</f>
        <v>2.4272624711896627</v>
      </c>
      <c r="AO88" s="5">
        <f>AN88 * (1 + Вводные!AO225)</f>
        <v>2.5000803453253524</v>
      </c>
      <c r="AP88" s="5">
        <f>AO88 * (1 + Вводные!AP225)</f>
        <v>2.5750827556851132</v>
      </c>
      <c r="AQ88" s="5">
        <f>AP88 * (1 + Вводные!AQ225)</f>
        <v>2.6523352383556666</v>
      </c>
      <c r="AR88" s="5">
        <f>AQ88 * (1 + Вводные!AR225)</f>
        <v>2.7319052955063365</v>
      </c>
      <c r="AS88" s="5">
        <f>AR88 * (1 + Вводные!AS225)</f>
        <v>2.8138624543715265</v>
      </c>
      <c r="AT88" s="5">
        <f>AS88 * (1 + Вводные!AT225)</f>
        <v>2.8982783280026725</v>
      </c>
      <c r="AU88" s="5">
        <f>AT88 * (1 + Вводные!AU225)</f>
        <v>2.9852266778427525</v>
      </c>
      <c r="AV88" s="5">
        <f>AU88 * (1 + Вводные!AV225)</f>
        <v>3.074783478178035</v>
      </c>
      <c r="AW88" s="5">
        <f>AV88 * (1 + Вводные!AW225)</f>
        <v>3.1670269825233763</v>
      </c>
      <c r="AX88" s="5">
        <f>AW88 * (1 + Вводные!AX225)</f>
        <v>3.2620377919990777</v>
      </c>
      <c r="AY88" s="5">
        <f>AX88 * (1 + Вводные!AY225)</f>
        <v>3.3598989257590501</v>
      </c>
      <c r="AZ88" s="5">
        <f>AY88 * (1 + Вводные!AZ225)</f>
        <v>3.4606958935318217</v>
      </c>
      <c r="BA88" s="5">
        <f>AZ88 * (1 + Вводные!BA225)</f>
        <v>3.5645167703377765</v>
      </c>
      <c r="BB88" s="5">
        <f>BA88 * (1 + Вводные!BB225)</f>
        <v>3.67145227344791</v>
      </c>
      <c r="BC88" s="5">
        <f>BB88 * (1 + Вводные!BC225)</f>
        <v>3.7815958416513475</v>
      </c>
      <c r="BD88" s="5">
        <f>BC88 * (1 + Вводные!BD225)</f>
        <v>3.8950437169008882</v>
      </c>
      <c r="BE88" s="5">
        <f>BD88 * (1 + Вводные!BE225)</f>
        <v>4.0118950284079151</v>
      </c>
      <c r="BF88" s="5">
        <f>BE88 * (1 + Вводные!BF225)</f>
        <v>4.1322518792601528</v>
      </c>
      <c r="BG88" s="5">
        <f>BF88 * (1 + Вводные!BG225)</f>
        <v>4.2562194356379575</v>
      </c>
      <c r="BH88" s="5">
        <f>BG88 * (1 + Вводные!BH225)</f>
        <v>4.383906018707096</v>
      </c>
      <c r="BI88" s="5">
        <f>BH88 * (1 + Вводные!BI225)</f>
        <v>4.5154231992683087</v>
      </c>
      <c r="BJ88" s="5">
        <f>BI88 * (1 + Вводные!BJ225)</f>
        <v>4.6508858952463576</v>
      </c>
    </row>
    <row r="89" spans="4:62" x14ac:dyDescent="0.15">
      <c r="D89" s="9" t="str">
        <f>Вводные!$D$200</f>
        <v>Темп роста Ежемесячный расход на цели 9</v>
      </c>
      <c r="E89" s="12" t="s">
        <v>4</v>
      </c>
      <c r="I89" s="23">
        <v>1</v>
      </c>
      <c r="J89" s="5">
        <f>I89 * (1 + Вводные!J226)</f>
        <v>1</v>
      </c>
      <c r="K89" s="5">
        <f>J89 * (1 + Вводные!K226)</f>
        <v>1.03</v>
      </c>
      <c r="L89" s="5">
        <f>K89 * (1 + Вводные!L226)</f>
        <v>1.0609</v>
      </c>
      <c r="M89" s="5">
        <f>L89 * (1 + Вводные!M226)</f>
        <v>1.092727</v>
      </c>
      <c r="N89" s="5">
        <f>M89 * (1 + Вводные!N226)</f>
        <v>1.1255088100000001</v>
      </c>
      <c r="O89" s="5">
        <f>N89 * (1 + Вводные!O226)</f>
        <v>1.1592740743000001</v>
      </c>
      <c r="P89" s="5">
        <f>O89 * (1 + Вводные!P226)</f>
        <v>1.1940522965290001</v>
      </c>
      <c r="Q89" s="5">
        <f>P89 * (1 + Вводные!Q226)</f>
        <v>1.2298738654248702</v>
      </c>
      <c r="R89" s="5">
        <f>Q89 * (1 + Вводные!R226)</f>
        <v>1.2667700813876164</v>
      </c>
      <c r="S89" s="5">
        <f>R89 * (1 + Вводные!S226)</f>
        <v>1.3047731838292449</v>
      </c>
      <c r="T89" s="5">
        <f>S89 * (1 + Вводные!T226)</f>
        <v>1.3439163793441222</v>
      </c>
      <c r="U89" s="5">
        <f>T89 * (1 + Вводные!U226)</f>
        <v>1.3842338707244459</v>
      </c>
      <c r="V89" s="5">
        <f>U89 * (1 + Вводные!V226)</f>
        <v>1.4257608868461793</v>
      </c>
      <c r="W89" s="5">
        <f>V89 * (1 + Вводные!W226)</f>
        <v>1.4685337134515648</v>
      </c>
      <c r="X89" s="5">
        <f>W89 * (1 + Вводные!X226)</f>
        <v>1.5125897248551119</v>
      </c>
      <c r="Y89" s="5">
        <f>X89 * (1 + Вводные!Y226)</f>
        <v>1.5579674166007653</v>
      </c>
      <c r="Z89" s="5">
        <f>Y89 * (1 + Вводные!Z226)</f>
        <v>1.6047064390987884</v>
      </c>
      <c r="AA89" s="5">
        <f>Z89 * (1 + Вводные!AA226)</f>
        <v>1.652847632271752</v>
      </c>
      <c r="AB89" s="5">
        <f>AA89 * (1 + Вводные!AB226)</f>
        <v>1.7024330612399046</v>
      </c>
      <c r="AC89" s="5">
        <f>AB89 * (1 + Вводные!AC226)</f>
        <v>1.7535060530771018</v>
      </c>
      <c r="AD89" s="5">
        <f>AC89 * (1 + Вводные!AD226)</f>
        <v>1.806111234669415</v>
      </c>
      <c r="AE89" s="5">
        <f>AD89 * (1 + Вводные!AE226)</f>
        <v>1.8602945717094976</v>
      </c>
      <c r="AF89" s="5">
        <f>AE89 * (1 + Вводные!AF226)</f>
        <v>1.9161034088607827</v>
      </c>
      <c r="AG89" s="5">
        <f>AF89 * (1 + Вводные!AG226)</f>
        <v>1.9735865111266062</v>
      </c>
      <c r="AH89" s="5">
        <f>AG89 * (1 + Вводные!AH226)</f>
        <v>2.0327941064604045</v>
      </c>
      <c r="AI89" s="5">
        <f>AH89 * (1 + Вводные!AI226)</f>
        <v>2.0937779296542165</v>
      </c>
      <c r="AJ89" s="5">
        <f>AI89 * (1 + Вводные!AJ226)</f>
        <v>2.1565912675438432</v>
      </c>
      <c r="AK89" s="5">
        <f>AJ89 * (1 + Вводные!AK226)</f>
        <v>2.2212890055701586</v>
      </c>
      <c r="AL89" s="5">
        <f>AK89 * (1 + Вводные!AL226)</f>
        <v>2.2879276757372633</v>
      </c>
      <c r="AM89" s="5">
        <f>AL89 * (1 + Вводные!AM226)</f>
        <v>2.3565655060093813</v>
      </c>
      <c r="AN89" s="5">
        <f>AM89 * (1 + Вводные!AN226)</f>
        <v>2.4272624711896627</v>
      </c>
      <c r="AO89" s="5">
        <f>AN89 * (1 + Вводные!AO226)</f>
        <v>2.5000803453253524</v>
      </c>
      <c r="AP89" s="5">
        <f>AO89 * (1 + Вводные!AP226)</f>
        <v>2.5750827556851132</v>
      </c>
      <c r="AQ89" s="5">
        <f>AP89 * (1 + Вводные!AQ226)</f>
        <v>2.6523352383556666</v>
      </c>
      <c r="AR89" s="5">
        <f>AQ89 * (1 + Вводные!AR226)</f>
        <v>2.7319052955063365</v>
      </c>
      <c r="AS89" s="5">
        <f>AR89 * (1 + Вводные!AS226)</f>
        <v>2.8138624543715265</v>
      </c>
      <c r="AT89" s="5">
        <f>AS89 * (1 + Вводные!AT226)</f>
        <v>2.8982783280026725</v>
      </c>
      <c r="AU89" s="5">
        <f>AT89 * (1 + Вводные!AU226)</f>
        <v>2.9852266778427525</v>
      </c>
      <c r="AV89" s="5">
        <f>AU89 * (1 + Вводные!AV226)</f>
        <v>3.074783478178035</v>
      </c>
      <c r="AW89" s="5">
        <f>AV89 * (1 + Вводные!AW226)</f>
        <v>3.1670269825233763</v>
      </c>
      <c r="AX89" s="5">
        <f>AW89 * (1 + Вводные!AX226)</f>
        <v>3.2620377919990777</v>
      </c>
      <c r="AY89" s="5">
        <f>AX89 * (1 + Вводные!AY226)</f>
        <v>3.3598989257590501</v>
      </c>
      <c r="AZ89" s="5">
        <f>AY89 * (1 + Вводные!AZ226)</f>
        <v>3.4606958935318217</v>
      </c>
      <c r="BA89" s="5">
        <f>AZ89 * (1 + Вводные!BA226)</f>
        <v>3.5645167703377765</v>
      </c>
      <c r="BB89" s="5">
        <f>BA89 * (1 + Вводные!BB226)</f>
        <v>3.67145227344791</v>
      </c>
      <c r="BC89" s="5">
        <f>BB89 * (1 + Вводные!BC226)</f>
        <v>3.7815958416513475</v>
      </c>
      <c r="BD89" s="5">
        <f>BC89 * (1 + Вводные!BD226)</f>
        <v>3.8950437169008882</v>
      </c>
      <c r="BE89" s="5">
        <f>BD89 * (1 + Вводные!BE226)</f>
        <v>4.0118950284079151</v>
      </c>
      <c r="BF89" s="5">
        <f>BE89 * (1 + Вводные!BF226)</f>
        <v>4.1322518792601528</v>
      </c>
      <c r="BG89" s="5">
        <f>BF89 * (1 + Вводные!BG226)</f>
        <v>4.2562194356379575</v>
      </c>
      <c r="BH89" s="5">
        <f>BG89 * (1 + Вводные!BH226)</f>
        <v>4.383906018707096</v>
      </c>
      <c r="BI89" s="5">
        <f>BH89 * (1 + Вводные!BI226)</f>
        <v>4.5154231992683087</v>
      </c>
      <c r="BJ89" s="5">
        <f>BI89 * (1 + Вводные!BJ226)</f>
        <v>4.6508858952463576</v>
      </c>
    </row>
    <row r="90" spans="4:62" x14ac:dyDescent="0.15">
      <c r="D90" s="9" t="str">
        <f>Вводные!$D$201</f>
        <v>Темп роста Ежемесячный расход на цели 10</v>
      </c>
      <c r="E90" s="12" t="s">
        <v>4</v>
      </c>
      <c r="I90" s="23">
        <v>1</v>
      </c>
      <c r="J90" s="5">
        <f>I90 * (1 + Вводные!J227)</f>
        <v>1</v>
      </c>
      <c r="K90" s="5">
        <f>J90 * (1 + Вводные!K227)</f>
        <v>1.03</v>
      </c>
      <c r="L90" s="5">
        <f>K90 * (1 + Вводные!L227)</f>
        <v>1.0609</v>
      </c>
      <c r="M90" s="5">
        <f>L90 * (1 + Вводные!M227)</f>
        <v>1.092727</v>
      </c>
      <c r="N90" s="5">
        <f>M90 * (1 + Вводные!N227)</f>
        <v>1.1255088100000001</v>
      </c>
      <c r="O90" s="5">
        <f>N90 * (1 + Вводные!O227)</f>
        <v>1.1592740743000001</v>
      </c>
      <c r="P90" s="5">
        <f>O90 * (1 + Вводные!P227)</f>
        <v>1.1940522965290001</v>
      </c>
      <c r="Q90" s="5">
        <f>P90 * (1 + Вводные!Q227)</f>
        <v>1.2298738654248702</v>
      </c>
      <c r="R90" s="5">
        <f>Q90 * (1 + Вводные!R227)</f>
        <v>1.2667700813876164</v>
      </c>
      <c r="S90" s="5">
        <f>R90 * (1 + Вводные!S227)</f>
        <v>1.3047731838292449</v>
      </c>
      <c r="T90" s="5">
        <f>S90 * (1 + Вводные!T227)</f>
        <v>1.3439163793441222</v>
      </c>
      <c r="U90" s="5">
        <f>T90 * (1 + Вводные!U227)</f>
        <v>1.3842338707244459</v>
      </c>
      <c r="V90" s="5">
        <f>U90 * (1 + Вводные!V227)</f>
        <v>1.4257608868461793</v>
      </c>
      <c r="W90" s="5">
        <f>V90 * (1 + Вводные!W227)</f>
        <v>1.4685337134515648</v>
      </c>
      <c r="X90" s="5">
        <f>W90 * (1 + Вводные!X227)</f>
        <v>1.5125897248551119</v>
      </c>
      <c r="Y90" s="5">
        <f>X90 * (1 + Вводные!Y227)</f>
        <v>1.5579674166007653</v>
      </c>
      <c r="Z90" s="5">
        <f>Y90 * (1 + Вводные!Z227)</f>
        <v>1.6047064390987884</v>
      </c>
      <c r="AA90" s="5">
        <f>Z90 * (1 + Вводные!AA227)</f>
        <v>1.652847632271752</v>
      </c>
      <c r="AB90" s="5">
        <f>AA90 * (1 + Вводные!AB227)</f>
        <v>1.7024330612399046</v>
      </c>
      <c r="AC90" s="5">
        <f>AB90 * (1 + Вводные!AC227)</f>
        <v>1.7535060530771018</v>
      </c>
      <c r="AD90" s="5">
        <f>AC90 * (1 + Вводные!AD227)</f>
        <v>1.806111234669415</v>
      </c>
      <c r="AE90" s="5">
        <f>AD90 * (1 + Вводные!AE227)</f>
        <v>1.8602945717094976</v>
      </c>
      <c r="AF90" s="5">
        <f>AE90 * (1 + Вводные!AF227)</f>
        <v>1.9161034088607827</v>
      </c>
      <c r="AG90" s="5">
        <f>AF90 * (1 + Вводные!AG227)</f>
        <v>1.9735865111266062</v>
      </c>
      <c r="AH90" s="5">
        <f>AG90 * (1 + Вводные!AH227)</f>
        <v>2.0327941064604045</v>
      </c>
      <c r="AI90" s="5">
        <f>AH90 * (1 + Вводные!AI227)</f>
        <v>2.0937779296542165</v>
      </c>
      <c r="AJ90" s="5">
        <f>AI90 * (1 + Вводные!AJ227)</f>
        <v>2.1565912675438432</v>
      </c>
      <c r="AK90" s="5">
        <f>AJ90 * (1 + Вводные!AK227)</f>
        <v>2.2212890055701586</v>
      </c>
      <c r="AL90" s="5">
        <f>AK90 * (1 + Вводные!AL227)</f>
        <v>2.2879276757372633</v>
      </c>
      <c r="AM90" s="5">
        <f>AL90 * (1 + Вводные!AM227)</f>
        <v>2.3565655060093813</v>
      </c>
      <c r="AN90" s="5">
        <f>AM90 * (1 + Вводные!AN227)</f>
        <v>2.4272624711896627</v>
      </c>
      <c r="AO90" s="5">
        <f>AN90 * (1 + Вводные!AO227)</f>
        <v>2.5000803453253524</v>
      </c>
      <c r="AP90" s="5">
        <f>AO90 * (1 + Вводные!AP227)</f>
        <v>2.5750827556851132</v>
      </c>
      <c r="AQ90" s="5">
        <f>AP90 * (1 + Вводные!AQ227)</f>
        <v>2.6523352383556666</v>
      </c>
      <c r="AR90" s="5">
        <f>AQ90 * (1 + Вводные!AR227)</f>
        <v>2.7319052955063365</v>
      </c>
      <c r="AS90" s="5">
        <f>AR90 * (1 + Вводные!AS227)</f>
        <v>2.8138624543715265</v>
      </c>
      <c r="AT90" s="5">
        <f>AS90 * (1 + Вводные!AT227)</f>
        <v>2.8982783280026725</v>
      </c>
      <c r="AU90" s="5">
        <f>AT90 * (1 + Вводные!AU227)</f>
        <v>2.9852266778427525</v>
      </c>
      <c r="AV90" s="5">
        <f>AU90 * (1 + Вводные!AV227)</f>
        <v>3.074783478178035</v>
      </c>
      <c r="AW90" s="5">
        <f>AV90 * (1 + Вводные!AW227)</f>
        <v>3.1670269825233763</v>
      </c>
      <c r="AX90" s="5">
        <f>AW90 * (1 + Вводные!AX227)</f>
        <v>3.2620377919990777</v>
      </c>
      <c r="AY90" s="5">
        <f>AX90 * (1 + Вводные!AY227)</f>
        <v>3.3598989257590501</v>
      </c>
      <c r="AZ90" s="5">
        <f>AY90 * (1 + Вводные!AZ227)</f>
        <v>3.4606958935318217</v>
      </c>
      <c r="BA90" s="5">
        <f>AZ90 * (1 + Вводные!BA227)</f>
        <v>3.5645167703377765</v>
      </c>
      <c r="BB90" s="5">
        <f>BA90 * (1 + Вводные!BB227)</f>
        <v>3.67145227344791</v>
      </c>
      <c r="BC90" s="5">
        <f>BB90 * (1 + Вводные!BC227)</f>
        <v>3.7815958416513475</v>
      </c>
      <c r="BD90" s="5">
        <f>BC90 * (1 + Вводные!BD227)</f>
        <v>3.8950437169008882</v>
      </c>
      <c r="BE90" s="5">
        <f>BD90 * (1 + Вводные!BE227)</f>
        <v>4.0118950284079151</v>
      </c>
      <c r="BF90" s="5">
        <f>BE90 * (1 + Вводные!BF227)</f>
        <v>4.1322518792601528</v>
      </c>
      <c r="BG90" s="5">
        <f>BF90 * (1 + Вводные!BG227)</f>
        <v>4.2562194356379575</v>
      </c>
      <c r="BH90" s="5">
        <f>BG90 * (1 + Вводные!BH227)</f>
        <v>4.383906018707096</v>
      </c>
      <c r="BI90" s="5">
        <f>BH90 * (1 + Вводные!BI227)</f>
        <v>4.5154231992683087</v>
      </c>
      <c r="BJ90" s="5">
        <f>BI90 * (1 + Вводные!BJ227)</f>
        <v>4.6508858952463576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F9442-1E08-4B70-B678-DFD9EE0B6569}">
  <dimension ref="D2:F10"/>
  <sheetViews>
    <sheetView showGridLines="0" zoomScale="150" zoomScaleNormal="150" workbookViewId="0">
      <selection activeCell="E5" sqref="E5"/>
    </sheetView>
  </sheetViews>
  <sheetFormatPr baseColWidth="10" defaultColWidth="8.75" defaultRowHeight="10" customHeight="1" x14ac:dyDescent="0.15"/>
  <cols>
    <col min="1" max="3" width="3.75" customWidth="1"/>
    <col min="4" max="6" width="15.75" customWidth="1"/>
  </cols>
  <sheetData>
    <row r="2" spans="4:6" ht="20" customHeight="1" x14ac:dyDescent="0.15">
      <c r="D2" s="43" t="s">
        <v>130</v>
      </c>
      <c r="E2" s="44"/>
      <c r="F2" s="45"/>
    </row>
    <row r="3" spans="4:6" ht="10" customHeight="1" x14ac:dyDescent="0.15">
      <c r="D3" s="28" t="s">
        <v>42</v>
      </c>
      <c r="E3" s="29"/>
      <c r="F3" s="30" t="s">
        <v>43</v>
      </c>
    </row>
    <row r="4" spans="4:6" ht="10" customHeight="1" x14ac:dyDescent="0.15">
      <c r="D4" s="46" t="s">
        <v>44</v>
      </c>
      <c r="E4" s="47"/>
      <c r="F4" s="48"/>
    </row>
    <row r="5" spans="4:6" ht="10" customHeight="1" x14ac:dyDescent="0.15">
      <c r="D5" s="25">
        <f>Доходы!I32</f>
        <v>156000</v>
      </c>
      <c r="E5" s="26"/>
      <c r="F5" s="27">
        <f>SUM(Расходы!I52,Цели!I42)</f>
        <v>-96000</v>
      </c>
    </row>
    <row r="6" spans="4:6" ht="10" customHeight="1" x14ac:dyDescent="0.15">
      <c r="D6" s="49" t="s">
        <v>45</v>
      </c>
      <c r="E6" s="50"/>
      <c r="F6" s="51"/>
    </row>
    <row r="7" spans="4:6" ht="10" customHeight="1" x14ac:dyDescent="0.15">
      <c r="D7" s="25">
        <f>Доходы!I48</f>
        <v>0</v>
      </c>
      <c r="E7" s="26"/>
      <c r="F7" s="27">
        <f>SUM(Расходы!I98,Цели!I68)</f>
        <v>-41000</v>
      </c>
    </row>
    <row r="8" spans="4:6" ht="10" customHeight="1" x14ac:dyDescent="0.15">
      <c r="D8" s="46" t="s">
        <v>46</v>
      </c>
      <c r="E8" s="47"/>
      <c r="F8" s="48"/>
    </row>
    <row r="9" spans="4:6" ht="10" customHeight="1" thickBot="1" x14ac:dyDescent="0.2">
      <c r="D9" s="31">
        <f>SUM(D5,D7)</f>
        <v>156000</v>
      </c>
      <c r="E9" s="33">
        <f>SUM(D9,F9)</f>
        <v>19000</v>
      </c>
      <c r="F9" s="32">
        <f>SUM(F5,F7)</f>
        <v>-137000</v>
      </c>
    </row>
    <row r="10" spans="4:6" ht="10" customHeight="1" thickTop="1" x14ac:dyDescent="0.15"/>
  </sheetData>
  <mergeCells count="4">
    <mergeCell ref="D2:F2"/>
    <mergeCell ref="D4:F4"/>
    <mergeCell ref="D6:F6"/>
    <mergeCell ref="D8:F8"/>
  </mergeCells>
  <pageMargins left="0.7" right="0.7" top="0.75" bottom="0.75" header="0.3" footer="0.3"/>
  <ignoredErrors>
    <ignoredError sqref="E9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BD3C1-EF6A-464E-A811-6CF7F3DC69D4}">
  <dimension ref="A2:BM18"/>
  <sheetViews>
    <sheetView showGridLines="0" zoomScale="150" zoomScaleNormal="150" workbookViewId="0">
      <pane xSplit="7" ySplit="6" topLeftCell="H7" activePane="bottomRight" state="frozen"/>
      <selection activeCell="E10" sqref="E10"/>
      <selection pane="topRight" activeCell="E10" sqref="E10"/>
      <selection pane="bottomLeft" activeCell="E10" sqref="E10"/>
      <selection pane="bottomRight" activeCell="I10" sqref="I10"/>
    </sheetView>
  </sheetViews>
  <sheetFormatPr baseColWidth="10" defaultColWidth="0" defaultRowHeight="11" x14ac:dyDescent="0.15"/>
  <cols>
    <col min="1" max="1" width="2.75" customWidth="1"/>
    <col min="2" max="3" width="3.75" customWidth="1"/>
    <col min="4" max="4" width="40.75" customWidth="1"/>
    <col min="5" max="5" width="10.75" bestFit="1" customWidth="1"/>
    <col min="6" max="7" width="9" customWidth="1"/>
    <col min="8" max="8" width="2.75" customWidth="1"/>
    <col min="9" max="62" width="12.75" customWidth="1"/>
    <col min="63" max="65" width="0" hidden="1" customWidth="1"/>
    <col min="66" max="16384" width="9" hidden="1"/>
  </cols>
  <sheetData>
    <row r="2" spans="2:61" x14ac:dyDescent="0.15">
      <c r="E2" s="12"/>
    </row>
    <row r="3" spans="2:61" x14ac:dyDescent="0.15">
      <c r="D3" s="8" t="str">
        <f>Вводные!D3</f>
        <v>Год</v>
      </c>
      <c r="E3" s="12"/>
      <c r="I3" s="8">
        <f>Вводные!J3</f>
        <v>2024</v>
      </c>
      <c r="J3" s="8">
        <f>Вводные!K3</f>
        <v>2025</v>
      </c>
      <c r="K3" s="8">
        <f>Вводные!L3</f>
        <v>2026</v>
      </c>
      <c r="L3" s="8">
        <f>Вводные!M3</f>
        <v>2027</v>
      </c>
      <c r="M3" s="8">
        <f>Вводные!N3</f>
        <v>2028</v>
      </c>
      <c r="N3" s="8">
        <f>Вводные!O3</f>
        <v>2029</v>
      </c>
      <c r="O3" s="8">
        <f>Вводные!P3</f>
        <v>2030</v>
      </c>
      <c r="P3" s="8">
        <f>Вводные!Q3</f>
        <v>2031</v>
      </c>
      <c r="Q3" s="8">
        <f>Вводные!R3</f>
        <v>2032</v>
      </c>
      <c r="R3" s="8">
        <f>Вводные!S3</f>
        <v>2033</v>
      </c>
      <c r="S3" s="8">
        <f>Вводные!T3</f>
        <v>2034</v>
      </c>
      <c r="T3" s="8">
        <f>Вводные!U3</f>
        <v>2035</v>
      </c>
      <c r="U3" s="8">
        <f>Вводные!V3</f>
        <v>2036</v>
      </c>
      <c r="V3" s="8">
        <f>Вводные!W3</f>
        <v>2037</v>
      </c>
      <c r="W3" s="8">
        <f>Вводные!X3</f>
        <v>2038</v>
      </c>
      <c r="X3" s="8">
        <f>Вводные!Y3</f>
        <v>2039</v>
      </c>
      <c r="Y3" s="8">
        <f>Вводные!Z3</f>
        <v>2040</v>
      </c>
      <c r="Z3" s="8">
        <f>Вводные!AA3</f>
        <v>2041</v>
      </c>
      <c r="AA3" s="8">
        <f>Вводные!AB3</f>
        <v>2042</v>
      </c>
      <c r="AB3" s="8">
        <f>Вводные!AC3</f>
        <v>2043</v>
      </c>
      <c r="AC3" s="8">
        <f>Вводные!AD3</f>
        <v>2044</v>
      </c>
      <c r="AD3" s="8">
        <f>Вводные!AE3</f>
        <v>2045</v>
      </c>
      <c r="AE3" s="8">
        <f>Вводные!AF3</f>
        <v>2046</v>
      </c>
      <c r="AF3" s="8">
        <f>Вводные!AG3</f>
        <v>2047</v>
      </c>
      <c r="AG3" s="8">
        <f>Вводные!AH3</f>
        <v>2048</v>
      </c>
      <c r="AH3" s="8">
        <f>Вводные!AI3</f>
        <v>2049</v>
      </c>
      <c r="AI3" s="8">
        <f>Вводные!AJ3</f>
        <v>2050</v>
      </c>
      <c r="AJ3" s="8">
        <f>Вводные!AK3</f>
        <v>2051</v>
      </c>
      <c r="AK3" s="8">
        <f>Вводные!AL3</f>
        <v>2052</v>
      </c>
      <c r="AL3" s="8">
        <f>Вводные!AM3</f>
        <v>2053</v>
      </c>
      <c r="AM3" s="8">
        <f>Вводные!AN3</f>
        <v>2054</v>
      </c>
      <c r="AN3" s="8">
        <f>Вводные!AO3</f>
        <v>2055</v>
      </c>
      <c r="AO3" s="8">
        <f>Вводные!AP3</f>
        <v>2056</v>
      </c>
      <c r="AP3" s="8">
        <f>Вводные!AQ3</f>
        <v>2057</v>
      </c>
      <c r="AQ3" s="8">
        <f>Вводные!AR3</f>
        <v>2058</v>
      </c>
      <c r="AR3" s="8">
        <f>Вводные!AS3</f>
        <v>2059</v>
      </c>
      <c r="AS3" s="8">
        <f>Вводные!AT3</f>
        <v>2060</v>
      </c>
      <c r="AT3" s="8">
        <f>Вводные!AU3</f>
        <v>2061</v>
      </c>
      <c r="AU3" s="8">
        <f>Вводные!AV3</f>
        <v>2062</v>
      </c>
      <c r="AV3" s="8">
        <f>Вводные!AW3</f>
        <v>2063</v>
      </c>
      <c r="AW3" s="8">
        <f>Вводные!AX3</f>
        <v>2064</v>
      </c>
      <c r="AX3" s="8">
        <f>Вводные!AY3</f>
        <v>2065</v>
      </c>
      <c r="AY3" s="8">
        <f>Вводные!AZ3</f>
        <v>2066</v>
      </c>
      <c r="AZ3" s="8">
        <f>Вводные!BA3</f>
        <v>2067</v>
      </c>
      <c r="BA3" s="8">
        <f>Вводные!BB3</f>
        <v>2068</v>
      </c>
      <c r="BB3" s="8">
        <f>Вводные!BC3</f>
        <v>2069</v>
      </c>
      <c r="BC3" s="8">
        <f>Вводные!BD3</f>
        <v>2070</v>
      </c>
      <c r="BD3" s="8">
        <f>Вводные!BE3</f>
        <v>2071</v>
      </c>
      <c r="BE3" s="8">
        <f>Вводные!BF3</f>
        <v>2072</v>
      </c>
      <c r="BF3" s="8">
        <f>Вводные!BG3</f>
        <v>2073</v>
      </c>
      <c r="BG3" s="8">
        <f>Вводные!BH3</f>
        <v>2074</v>
      </c>
      <c r="BH3" s="8">
        <f>Вводные!BI3</f>
        <v>2075</v>
      </c>
      <c r="BI3" s="8">
        <f>Вводные!BJ3</f>
        <v>2076</v>
      </c>
    </row>
    <row r="4" spans="2:61" x14ac:dyDescent="0.15">
      <c r="D4" t="str">
        <f>Вводные!D4</f>
        <v>Возраст</v>
      </c>
      <c r="E4" s="12"/>
      <c r="I4">
        <f>Вводные!J4</f>
        <v>31</v>
      </c>
      <c r="J4">
        <f>Вводные!K4</f>
        <v>32</v>
      </c>
      <c r="K4">
        <f>Вводные!L4</f>
        <v>33</v>
      </c>
      <c r="L4">
        <f>Вводные!M4</f>
        <v>34</v>
      </c>
      <c r="M4">
        <f>Вводные!N4</f>
        <v>35</v>
      </c>
      <c r="N4">
        <f>Вводные!O4</f>
        <v>36</v>
      </c>
      <c r="O4">
        <f>Вводные!P4</f>
        <v>37</v>
      </c>
      <c r="P4">
        <f>Вводные!Q4</f>
        <v>38</v>
      </c>
      <c r="Q4">
        <f>Вводные!R4</f>
        <v>39</v>
      </c>
      <c r="R4">
        <f>Вводные!S4</f>
        <v>40</v>
      </c>
      <c r="S4">
        <f>Вводные!T4</f>
        <v>41</v>
      </c>
      <c r="T4">
        <f>Вводные!U4</f>
        <v>42</v>
      </c>
      <c r="U4">
        <f>Вводные!V4</f>
        <v>43</v>
      </c>
      <c r="V4">
        <f>Вводные!W4</f>
        <v>44</v>
      </c>
      <c r="W4">
        <f>Вводные!X4</f>
        <v>45</v>
      </c>
      <c r="X4">
        <f>Вводные!Y4</f>
        <v>46</v>
      </c>
      <c r="Y4">
        <f>Вводные!Z4</f>
        <v>47</v>
      </c>
      <c r="Z4">
        <f>Вводные!AA4</f>
        <v>48</v>
      </c>
      <c r="AA4">
        <f>Вводные!AB4</f>
        <v>49</v>
      </c>
      <c r="AB4">
        <f>Вводные!AC4</f>
        <v>50</v>
      </c>
      <c r="AC4">
        <f>Вводные!AD4</f>
        <v>51</v>
      </c>
      <c r="AD4">
        <f>Вводные!AE4</f>
        <v>52</v>
      </c>
      <c r="AE4">
        <f>Вводные!AF4</f>
        <v>53</v>
      </c>
      <c r="AF4">
        <f>Вводные!AG4</f>
        <v>54</v>
      </c>
      <c r="AG4">
        <f>Вводные!AH4</f>
        <v>55</v>
      </c>
      <c r="AH4">
        <f>Вводные!AI4</f>
        <v>56</v>
      </c>
      <c r="AI4">
        <f>Вводные!AJ4</f>
        <v>57</v>
      </c>
      <c r="AJ4">
        <f>Вводные!AK4</f>
        <v>58</v>
      </c>
      <c r="AK4">
        <f>Вводные!AL4</f>
        <v>59</v>
      </c>
      <c r="AL4">
        <f>Вводные!AM4</f>
        <v>60</v>
      </c>
      <c r="AM4">
        <f>Вводные!AN4</f>
        <v>61</v>
      </c>
      <c r="AN4">
        <f>Вводные!AO4</f>
        <v>62</v>
      </c>
      <c r="AO4">
        <f>Вводные!AP4</f>
        <v>63</v>
      </c>
      <c r="AP4">
        <f>Вводные!AQ4</f>
        <v>64</v>
      </c>
      <c r="AQ4">
        <f>Вводные!AR4</f>
        <v>65</v>
      </c>
      <c r="AR4">
        <f>Вводные!AS4</f>
        <v>66</v>
      </c>
      <c r="AS4">
        <f>Вводные!AT4</f>
        <v>67</v>
      </c>
      <c r="AT4">
        <f>Вводные!AU4</f>
        <v>68</v>
      </c>
      <c r="AU4">
        <f>Вводные!AV4</f>
        <v>69</v>
      </c>
      <c r="AV4">
        <f>Вводные!AW4</f>
        <v>70</v>
      </c>
      <c r="AW4">
        <f>Вводные!AX4</f>
        <v>71</v>
      </c>
      <c r="AX4">
        <f>Вводные!AY4</f>
        <v>72</v>
      </c>
      <c r="AY4">
        <f>Вводные!AZ4</f>
        <v>73</v>
      </c>
      <c r="AZ4">
        <f>Вводные!BA4</f>
        <v>74</v>
      </c>
      <c r="BA4">
        <f>Вводные!BB4</f>
        <v>75</v>
      </c>
      <c r="BB4">
        <f>Вводные!BC4</f>
        <v>76</v>
      </c>
      <c r="BC4">
        <f>Вводные!BD4</f>
        <v>77</v>
      </c>
      <c r="BD4">
        <f>Вводные!BE4</f>
        <v>78</v>
      </c>
      <c r="BE4">
        <f>Вводные!BF4</f>
        <v>79</v>
      </c>
      <c r="BF4">
        <f>Вводные!BG4</f>
        <v>80</v>
      </c>
      <c r="BG4">
        <f>Вводные!BH4</f>
        <v>81</v>
      </c>
      <c r="BH4">
        <f>Вводные!BI4</f>
        <v>82</v>
      </c>
      <c r="BI4">
        <f>Вводные!BJ4</f>
        <v>83</v>
      </c>
    </row>
    <row r="5" spans="2:61" x14ac:dyDescent="0.15">
      <c r="D5" t="str">
        <f>Вводные!D5</f>
        <v>№ периода</v>
      </c>
      <c r="E5" s="12"/>
      <c r="I5">
        <f>Вводные!J5</f>
        <v>1</v>
      </c>
      <c r="J5">
        <f>Вводные!K5</f>
        <v>2</v>
      </c>
      <c r="K5">
        <f>Вводные!L5</f>
        <v>3</v>
      </c>
      <c r="L5">
        <f>Вводные!M5</f>
        <v>4</v>
      </c>
      <c r="M5">
        <f>Вводные!N5</f>
        <v>5</v>
      </c>
      <c r="N5">
        <f>Вводные!O5</f>
        <v>6</v>
      </c>
      <c r="O5">
        <f>Вводные!P5</f>
        <v>7</v>
      </c>
      <c r="P5">
        <f>Вводные!Q5</f>
        <v>8</v>
      </c>
      <c r="Q5">
        <f>Вводные!R5</f>
        <v>9</v>
      </c>
      <c r="R5">
        <f>Вводные!S5</f>
        <v>10</v>
      </c>
      <c r="S5">
        <f>Вводные!T5</f>
        <v>11</v>
      </c>
      <c r="T5">
        <f>Вводные!U5</f>
        <v>12</v>
      </c>
      <c r="U5">
        <f>Вводные!V5</f>
        <v>13</v>
      </c>
      <c r="V5">
        <f>Вводные!W5</f>
        <v>14</v>
      </c>
      <c r="W5">
        <f>Вводные!X5</f>
        <v>15</v>
      </c>
      <c r="X5">
        <f>Вводные!Y5</f>
        <v>16</v>
      </c>
      <c r="Y5">
        <f>Вводные!Z5</f>
        <v>17</v>
      </c>
      <c r="Z5">
        <f>Вводные!AA5</f>
        <v>18</v>
      </c>
      <c r="AA5">
        <f>Вводные!AB5</f>
        <v>19</v>
      </c>
      <c r="AB5">
        <f>Вводные!AC5</f>
        <v>20</v>
      </c>
      <c r="AC5">
        <f>Вводные!AD5</f>
        <v>21</v>
      </c>
      <c r="AD5">
        <f>Вводные!AE5</f>
        <v>22</v>
      </c>
      <c r="AE5">
        <f>Вводные!AF5</f>
        <v>23</v>
      </c>
      <c r="AF5">
        <f>Вводные!AG5</f>
        <v>24</v>
      </c>
      <c r="AG5">
        <f>Вводные!AH5</f>
        <v>25</v>
      </c>
      <c r="AH5">
        <f>Вводные!AI5</f>
        <v>26</v>
      </c>
      <c r="AI5">
        <f>Вводные!AJ5</f>
        <v>27</v>
      </c>
      <c r="AJ5">
        <f>Вводные!AK5</f>
        <v>28</v>
      </c>
      <c r="AK5">
        <f>Вводные!AL5</f>
        <v>29</v>
      </c>
      <c r="AL5">
        <f>Вводные!AM5</f>
        <v>30</v>
      </c>
      <c r="AM5">
        <f>Вводные!AN5</f>
        <v>31</v>
      </c>
      <c r="AN5">
        <f>Вводные!AO5</f>
        <v>32</v>
      </c>
      <c r="AO5">
        <f>Вводные!AP5</f>
        <v>33</v>
      </c>
      <c r="AP5">
        <f>Вводные!AQ5</f>
        <v>34</v>
      </c>
      <c r="AQ5">
        <f>Вводные!AR5</f>
        <v>35</v>
      </c>
      <c r="AR5">
        <f>Вводные!AS5</f>
        <v>36</v>
      </c>
      <c r="AS5">
        <f>Вводные!AT5</f>
        <v>37</v>
      </c>
      <c r="AT5">
        <f>Вводные!AU5</f>
        <v>38</v>
      </c>
      <c r="AU5">
        <f>Вводные!AV5</f>
        <v>39</v>
      </c>
      <c r="AV5">
        <f>Вводные!AW5</f>
        <v>40</v>
      </c>
      <c r="AW5">
        <f>Вводные!AX5</f>
        <v>41</v>
      </c>
      <c r="AX5">
        <f>Вводные!AY5</f>
        <v>42</v>
      </c>
      <c r="AY5">
        <f>Вводные!AZ5</f>
        <v>43</v>
      </c>
      <c r="AZ5">
        <f>Вводные!BA5</f>
        <v>44</v>
      </c>
      <c r="BA5">
        <f>Вводные!BB5</f>
        <v>45</v>
      </c>
      <c r="BB5">
        <f>Вводные!BC5</f>
        <v>46</v>
      </c>
      <c r="BC5">
        <f>Вводные!BD5</f>
        <v>47</v>
      </c>
      <c r="BD5">
        <f>Вводные!BE5</f>
        <v>48</v>
      </c>
      <c r="BE5">
        <f>Вводные!BF5</f>
        <v>49</v>
      </c>
      <c r="BF5">
        <f>Вводные!BG5</f>
        <v>50</v>
      </c>
      <c r="BG5">
        <f>Вводные!BH5</f>
        <v>51</v>
      </c>
      <c r="BH5">
        <f>Вводные!BI5</f>
        <v>52</v>
      </c>
      <c r="BI5">
        <f>Вводные!BJ5</f>
        <v>53</v>
      </c>
    </row>
    <row r="6" spans="2:61" x14ac:dyDescent="0.15">
      <c r="E6" s="12"/>
    </row>
    <row r="7" spans="2:61" x14ac:dyDescent="0.15">
      <c r="E7" s="12"/>
    </row>
    <row r="8" spans="2:61" ht="12" x14ac:dyDescent="0.15">
      <c r="B8" s="1">
        <f>MAX( $B$7:B7 ) + 1</f>
        <v>1</v>
      </c>
      <c r="C8" s="1"/>
      <c r="D8" s="1" t="s">
        <v>49</v>
      </c>
      <c r="E8" s="1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</row>
    <row r="9" spans="2:61" x14ac:dyDescent="0.15">
      <c r="E9" s="12"/>
      <c r="I9" s="40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</row>
    <row r="10" spans="2:61" ht="12" thickBot="1" x14ac:dyDescent="0.2">
      <c r="D10" s="8" t="s">
        <v>49</v>
      </c>
      <c r="E10" s="15" t="s">
        <v>110</v>
      </c>
      <c r="I10" s="7">
        <f>SUM(I11:I13)</f>
        <v>19000</v>
      </c>
      <c r="J10" s="7">
        <f t="shared" ref="J10:BI10" si="0">SUM(J11:J13)</f>
        <v>51880</v>
      </c>
      <c r="K10" s="7">
        <f t="shared" si="0"/>
        <v>57066.39999999998</v>
      </c>
      <c r="L10" s="7">
        <f t="shared" si="0"/>
        <v>59318.391999999985</v>
      </c>
      <c r="M10" s="7">
        <f t="shared" si="0"/>
        <v>61637.94375999998</v>
      </c>
      <c r="N10" s="7">
        <f t="shared" si="0"/>
        <v>67027.082072799967</v>
      </c>
      <c r="O10" s="7">
        <f t="shared" si="0"/>
        <v>69487.894534984021</v>
      </c>
      <c r="P10" s="7">
        <f t="shared" si="0"/>
        <v>72022.531371033561</v>
      </c>
      <c r="Q10" s="7">
        <f t="shared" si="0"/>
        <v>74633.207312164508</v>
      </c>
      <c r="R10" s="7">
        <f t="shared" si="0"/>
        <v>77322.203531529478</v>
      </c>
      <c r="S10" s="7">
        <f t="shared" si="0"/>
        <v>80091.869637475364</v>
      </c>
      <c r="T10" s="7">
        <f t="shared" si="0"/>
        <v>82944.625726599596</v>
      </c>
      <c r="U10" s="7">
        <f t="shared" si="0"/>
        <v>85882.96449839756</v>
      </c>
      <c r="V10" s="7">
        <f t="shared" si="0"/>
        <v>88909.453433349467</v>
      </c>
      <c r="W10" s="7">
        <f t="shared" si="0"/>
        <v>92026.737036349979</v>
      </c>
      <c r="X10" s="7">
        <f t="shared" si="0"/>
        <v>95237.539147440461</v>
      </c>
      <c r="Y10" s="7">
        <f t="shared" si="0"/>
        <v>98544.665321863664</v>
      </c>
      <c r="Z10" s="7">
        <f t="shared" si="0"/>
        <v>106909.54817833479</v>
      </c>
      <c r="AA10" s="7">
        <f t="shared" si="0"/>
        <v>110566.8346236849</v>
      </c>
      <c r="AB10" s="7">
        <f t="shared" si="0"/>
        <v>114333.83966239539</v>
      </c>
      <c r="AC10" s="7">
        <f t="shared" si="0"/>
        <v>118213.85485226722</v>
      </c>
      <c r="AD10" s="7">
        <f t="shared" si="0"/>
        <v>122210.2704978353</v>
      </c>
      <c r="AE10" s="7">
        <f t="shared" si="0"/>
        <v>126326.57861277038</v>
      </c>
      <c r="AF10" s="7">
        <f t="shared" si="0"/>
        <v>130566.37597115349</v>
      </c>
      <c r="AG10" s="7">
        <f t="shared" si="0"/>
        <v>134933.36725028811</v>
      </c>
      <c r="AH10" s="7">
        <f t="shared" si="0"/>
        <v>139431.36826779679</v>
      </c>
      <c r="AI10" s="7">
        <f t="shared" si="0"/>
        <v>144064.30931583064</v>
      </c>
      <c r="AJ10" s="7">
        <f t="shared" si="0"/>
        <v>163836.23859530556</v>
      </c>
      <c r="AK10" s="7">
        <f t="shared" si="0"/>
        <v>168751.32575316477</v>
      </c>
      <c r="AL10" s="7">
        <f t="shared" si="0"/>
        <v>173813.8655257597</v>
      </c>
      <c r="AM10" s="7">
        <f t="shared" si="0"/>
        <v>179028.28149153249</v>
      </c>
      <c r="AN10" s="7">
        <f t="shared" si="0"/>
        <v>184399.12993627845</v>
      </c>
      <c r="AO10" s="7">
        <f t="shared" si="0"/>
        <v>189931.10383436678</v>
      </c>
      <c r="AP10" s="7">
        <f t="shared" si="0"/>
        <v>195629.03694939776</v>
      </c>
      <c r="AQ10" s="7">
        <f t="shared" si="0"/>
        <v>201497.90805787977</v>
      </c>
      <c r="AR10" s="7">
        <f t="shared" si="0"/>
        <v>207542.84529961611</v>
      </c>
      <c r="AS10" s="7">
        <f t="shared" si="0"/>
        <v>213769.13065860467</v>
      </c>
      <c r="AT10" s="7">
        <f t="shared" si="0"/>
        <v>279886.73813521786</v>
      </c>
      <c r="AU10" s="7">
        <f t="shared" si="0"/>
        <v>288283.3402792745</v>
      </c>
      <c r="AV10" s="7">
        <f t="shared" si="0"/>
        <v>296931.84048765257</v>
      </c>
      <c r="AW10" s="7">
        <f t="shared" si="0"/>
        <v>305839.79570228234</v>
      </c>
      <c r="AX10" s="7">
        <f t="shared" si="0"/>
        <v>315014.98957335093</v>
      </c>
      <c r="AY10" s="7">
        <f t="shared" si="0"/>
        <v>324465.4392605513</v>
      </c>
      <c r="AZ10" s="7">
        <f t="shared" si="0"/>
        <v>334199.40243836795</v>
      </c>
      <c r="BA10" s="7">
        <f t="shared" si="0"/>
        <v>344225.38451151893</v>
      </c>
      <c r="BB10" s="7">
        <f t="shared" si="0"/>
        <v>354552.14604686439</v>
      </c>
      <c r="BC10" s="7">
        <f t="shared" si="0"/>
        <v>365188.71042827028</v>
      </c>
      <c r="BD10" s="7">
        <f t="shared" si="0"/>
        <v>376144.37174111849</v>
      </c>
      <c r="BE10" s="7">
        <f t="shared" si="0"/>
        <v>387428.70289335208</v>
      </c>
      <c r="BF10" s="7">
        <f t="shared" si="0"/>
        <v>399051.56398015254</v>
      </c>
      <c r="BG10" s="7">
        <f t="shared" si="0"/>
        <v>411023.11089955724</v>
      </c>
      <c r="BH10" s="7">
        <f t="shared" si="0"/>
        <v>423353.80422654387</v>
      </c>
      <c r="BI10" s="7">
        <f t="shared" si="0"/>
        <v>436054.4183533403</v>
      </c>
    </row>
    <row r="11" spans="2:61" ht="12" thickTop="1" x14ac:dyDescent="0.15">
      <c r="D11" s="9" t="s">
        <v>1</v>
      </c>
      <c r="E11" s="12" t="s">
        <v>110</v>
      </c>
      <c r="I11" s="3">
        <f>Доходы!J28</f>
        <v>156000</v>
      </c>
      <c r="J11" s="3">
        <f>Доходы!K28</f>
        <v>192360</v>
      </c>
      <c r="K11" s="3">
        <f>Доходы!L28</f>
        <v>198130.8</v>
      </c>
      <c r="L11" s="3">
        <f>Доходы!M28</f>
        <v>204074.72399999999</v>
      </c>
      <c r="M11" s="3">
        <f>Доходы!N28</f>
        <v>210196.96572000001</v>
      </c>
      <c r="N11" s="3">
        <f>Доходы!O28</f>
        <v>216502.87469160001</v>
      </c>
      <c r="O11" s="3">
        <f>Доходы!P28</f>
        <v>222997.96093234804</v>
      </c>
      <c r="P11" s="3">
        <f>Доходы!Q28</f>
        <v>229687.89976031848</v>
      </c>
      <c r="Q11" s="3">
        <f>Доходы!R28</f>
        <v>236578.53675312802</v>
      </c>
      <c r="R11" s="3">
        <f>Доходы!S28</f>
        <v>243675.89285572188</v>
      </c>
      <c r="S11" s="3">
        <f>Доходы!T28</f>
        <v>250986.16964139353</v>
      </c>
      <c r="T11" s="3">
        <f>Доходы!U28</f>
        <v>258515.75473063535</v>
      </c>
      <c r="U11" s="3">
        <f>Доходы!V28</f>
        <v>266271.22737255436</v>
      </c>
      <c r="V11" s="3">
        <f>Доходы!W28</f>
        <v>274259.36419373099</v>
      </c>
      <c r="W11" s="3">
        <f>Доходы!X28</f>
        <v>282487.14511954295</v>
      </c>
      <c r="X11" s="3">
        <f>Доходы!Y28</f>
        <v>290961.75947312923</v>
      </c>
      <c r="Y11" s="3">
        <f>Доходы!Z28</f>
        <v>299690.61225732311</v>
      </c>
      <c r="Z11" s="3">
        <f>Доходы!AA28</f>
        <v>308681.33062504278</v>
      </c>
      <c r="AA11" s="3">
        <f>Доходы!AB28</f>
        <v>317941.77054379409</v>
      </c>
      <c r="AB11" s="3">
        <f>Доходы!AC28</f>
        <v>327480.02366010792</v>
      </c>
      <c r="AC11" s="3">
        <f>Доходы!AD28</f>
        <v>337304.42436991114</v>
      </c>
      <c r="AD11" s="3">
        <f>Доходы!AE28</f>
        <v>347423.55710100854</v>
      </c>
      <c r="AE11" s="3">
        <f>Доходы!AF28</f>
        <v>357846.26381403883</v>
      </c>
      <c r="AF11" s="3">
        <f>Доходы!AG28</f>
        <v>368581.65172845998</v>
      </c>
      <c r="AG11" s="3">
        <f>Доходы!AH28</f>
        <v>379639.1012803138</v>
      </c>
      <c r="AH11" s="3">
        <f>Доходы!AI28</f>
        <v>391028.27431872324</v>
      </c>
      <c r="AI11" s="3">
        <f>Доходы!AJ28</f>
        <v>402759.12254828494</v>
      </c>
      <c r="AJ11" s="3">
        <f>Доходы!AK28</f>
        <v>414841.89622473344</v>
      </c>
      <c r="AK11" s="3">
        <f>Доходы!AL28</f>
        <v>427287.15311147546</v>
      </c>
      <c r="AL11" s="3">
        <f>Доходы!AM28</f>
        <v>440105.76770481974</v>
      </c>
      <c r="AM11" s="3">
        <f>Доходы!AN28</f>
        <v>453308.94073596434</v>
      </c>
      <c r="AN11" s="3">
        <f>Доходы!AO28</f>
        <v>466908.20895804325</v>
      </c>
      <c r="AO11" s="3">
        <f>Доходы!AP28</f>
        <v>480915.45522678463</v>
      </c>
      <c r="AP11" s="3">
        <f>Доходы!AQ28</f>
        <v>495342.91888358817</v>
      </c>
      <c r="AQ11" s="3">
        <f>Доходы!AR28</f>
        <v>510203.20645009587</v>
      </c>
      <c r="AR11" s="3">
        <f>Доходы!AS28</f>
        <v>525509.30264359864</v>
      </c>
      <c r="AS11" s="3">
        <f>Доходы!AT28</f>
        <v>541274.58172290667</v>
      </c>
      <c r="AT11" s="3">
        <f>Доходы!AU28</f>
        <v>557512.8191745939</v>
      </c>
      <c r="AU11" s="3">
        <f>Доходы!AV28</f>
        <v>574238.20374983177</v>
      </c>
      <c r="AV11" s="3">
        <f>Доходы!AW28</f>
        <v>591465.34986232664</v>
      </c>
      <c r="AW11" s="3">
        <f>Доходы!AX28</f>
        <v>609209.3103581965</v>
      </c>
      <c r="AX11" s="3">
        <f>Доходы!AY28</f>
        <v>627485.5896689425</v>
      </c>
      <c r="AY11" s="3">
        <f>Доходы!AZ28</f>
        <v>646310.15735901066</v>
      </c>
      <c r="AZ11" s="3">
        <f>Доходы!BA28</f>
        <v>665699.46207978111</v>
      </c>
      <c r="BA11" s="3">
        <f>Доходы!BB28</f>
        <v>685670.44594217453</v>
      </c>
      <c r="BB11" s="3">
        <f>Доходы!BC28</f>
        <v>706240.5593204397</v>
      </c>
      <c r="BC11" s="3">
        <f>Доходы!BD28</f>
        <v>727427.77610005287</v>
      </c>
      <c r="BD11" s="3">
        <f>Доходы!BE28</f>
        <v>749250.60938305454</v>
      </c>
      <c r="BE11" s="3">
        <f>Доходы!BF28</f>
        <v>771728.12766454625</v>
      </c>
      <c r="BF11" s="3">
        <f>Доходы!BG28</f>
        <v>794879.9714944826</v>
      </c>
      <c r="BG11" s="3">
        <f>Доходы!BH28</f>
        <v>818726.3706393172</v>
      </c>
      <c r="BH11" s="3">
        <f>Доходы!BI28</f>
        <v>843288.16175849666</v>
      </c>
      <c r="BI11" s="3">
        <f>Доходы!BJ28</f>
        <v>868586.80661125155</v>
      </c>
    </row>
    <row r="12" spans="2:61" x14ac:dyDescent="0.15">
      <c r="D12" s="9" t="s">
        <v>12</v>
      </c>
      <c r="E12" s="12" t="s">
        <v>110</v>
      </c>
      <c r="I12" s="3">
        <f>Расходы!J48</f>
        <v>-117000</v>
      </c>
      <c r="J12" s="3">
        <f>Расходы!K48</f>
        <v>-119880</v>
      </c>
      <c r="K12" s="3">
        <f>Расходы!L48</f>
        <v>-119846.40000000001</v>
      </c>
      <c r="L12" s="3">
        <f>Расходы!M48</f>
        <v>-122901.792</v>
      </c>
      <c r="M12" s="3">
        <f>Расходы!N48</f>
        <v>-126048.84576000003</v>
      </c>
      <c r="N12" s="3">
        <f>Расходы!O48</f>
        <v>-126290.31113280004</v>
      </c>
      <c r="O12" s="3">
        <f>Расходы!P48</f>
        <v>-129629.02046678402</v>
      </c>
      <c r="P12" s="3">
        <f>Расходы!Q48</f>
        <v>-133067.89108078752</v>
      </c>
      <c r="Q12" s="3">
        <f>Расходы!R48</f>
        <v>-136609.92781321119</v>
      </c>
      <c r="R12" s="3">
        <f>Расходы!S48</f>
        <v>-140258.2256476075</v>
      </c>
      <c r="S12" s="3">
        <f>Расходы!T48</f>
        <v>-144015.97241703572</v>
      </c>
      <c r="T12" s="3">
        <f>Расходы!U48</f>
        <v>-147886.45158954684</v>
      </c>
      <c r="U12" s="3">
        <f>Расходы!V48</f>
        <v>-151873.04513723322</v>
      </c>
      <c r="V12" s="3">
        <f>Расходы!W48</f>
        <v>-155979.23649135022</v>
      </c>
      <c r="W12" s="3">
        <f>Расходы!X48</f>
        <v>-160208.61358609074</v>
      </c>
      <c r="X12" s="3">
        <f>Расходы!Y48</f>
        <v>-164564.87199367347</v>
      </c>
      <c r="Y12" s="3">
        <f>Расходы!Z48</f>
        <v>-169051.81815348368</v>
      </c>
      <c r="Z12" s="3">
        <f>Расходы!AA48</f>
        <v>-168714.82980127295</v>
      </c>
      <c r="AA12" s="3">
        <f>Расходы!AB48</f>
        <v>-173326.27469531109</v>
      </c>
      <c r="AB12" s="3">
        <f>Расходы!AC48</f>
        <v>-178076.06293617049</v>
      </c>
      <c r="AC12" s="3">
        <f>Расходы!AD48</f>
        <v>-182968.34482425562</v>
      </c>
      <c r="AD12" s="3">
        <f>Расходы!AE48</f>
        <v>-188007.39516898329</v>
      </c>
      <c r="AE12" s="3">
        <f>Расходы!AF48</f>
        <v>-193197.6170240528</v>
      </c>
      <c r="AF12" s="3">
        <f>Расходы!AG48</f>
        <v>-198543.54553477437</v>
      </c>
      <c r="AG12" s="3">
        <f>Расходы!AH48</f>
        <v>-204049.85190081759</v>
      </c>
      <c r="AH12" s="3">
        <f>Расходы!AI48</f>
        <v>-209721.34745784212</v>
      </c>
      <c r="AI12" s="3">
        <f>Расходы!AJ48</f>
        <v>-215562.98788157743</v>
      </c>
      <c r="AJ12" s="3">
        <f>Расходы!AK48</f>
        <v>-206579.8775180247</v>
      </c>
      <c r="AK12" s="3">
        <f>Расходы!AL48</f>
        <v>-212777.27384356543</v>
      </c>
      <c r="AL12" s="3">
        <f>Расходы!AM48</f>
        <v>-219160.59205887243</v>
      </c>
      <c r="AM12" s="3">
        <f>Расходы!AN48</f>
        <v>-225735.4098206386</v>
      </c>
      <c r="AN12" s="3">
        <f>Расходы!AO48</f>
        <v>-232507.47211525775</v>
      </c>
      <c r="AO12" s="3">
        <f>Расходы!AP48</f>
        <v>-239482.69627871559</v>
      </c>
      <c r="AP12" s="3">
        <f>Расходы!AQ48</f>
        <v>-246667.17716707705</v>
      </c>
      <c r="AQ12" s="3">
        <f>Расходы!AR48</f>
        <v>-254067.19248208936</v>
      </c>
      <c r="AR12" s="3">
        <f>Расходы!AS48</f>
        <v>-261689.20825655197</v>
      </c>
      <c r="AS12" s="3">
        <f>Расходы!AT48</f>
        <v>-269539.88450424856</v>
      </c>
      <c r="AT12" s="3">
        <f>Расходы!AU48</f>
        <v>-277626.08103937603</v>
      </c>
      <c r="AU12" s="3">
        <f>Расходы!AV48</f>
        <v>-285954.86347055726</v>
      </c>
      <c r="AV12" s="3">
        <f>Расходы!AW48</f>
        <v>-294533.50937467406</v>
      </c>
      <c r="AW12" s="3">
        <f>Расходы!AX48</f>
        <v>-303369.51465591416</v>
      </c>
      <c r="AX12" s="3">
        <f>Расходы!AY48</f>
        <v>-312470.60009559157</v>
      </c>
      <c r="AY12" s="3">
        <f>Расходы!AZ48</f>
        <v>-321844.71809845936</v>
      </c>
      <c r="AZ12" s="3">
        <f>Расходы!BA48</f>
        <v>-331500.05964141316</v>
      </c>
      <c r="BA12" s="3">
        <f>Расходы!BB48</f>
        <v>-341445.06143065559</v>
      </c>
      <c r="BB12" s="3">
        <f>Расходы!BC48</f>
        <v>-351688.41327357531</v>
      </c>
      <c r="BC12" s="3">
        <f>Расходы!BD48</f>
        <v>-362239.06567178259</v>
      </c>
      <c r="BD12" s="3">
        <f>Расходы!BE48</f>
        <v>-373106.23764193605</v>
      </c>
      <c r="BE12" s="3">
        <f>Расходы!BF48</f>
        <v>-384299.42477119417</v>
      </c>
      <c r="BF12" s="3">
        <f>Расходы!BG48</f>
        <v>-395828.40751433006</v>
      </c>
      <c r="BG12" s="3">
        <f>Расходы!BH48</f>
        <v>-407703.25973975996</v>
      </c>
      <c r="BH12" s="3">
        <f>Расходы!BI48</f>
        <v>-419934.35753195279</v>
      </c>
      <c r="BI12" s="3">
        <f>Расходы!BJ48</f>
        <v>-432532.38825791125</v>
      </c>
    </row>
    <row r="13" spans="2:61" x14ac:dyDescent="0.15">
      <c r="D13" s="9" t="s">
        <v>24</v>
      </c>
      <c r="E13" s="12" t="s">
        <v>110</v>
      </c>
      <c r="I13" s="3">
        <f>Цели!J38</f>
        <v>-20000</v>
      </c>
      <c r="J13" s="3">
        <f>Цели!K38</f>
        <v>-20600</v>
      </c>
      <c r="K13" s="3">
        <f>Цели!L38</f>
        <v>-21218</v>
      </c>
      <c r="L13" s="3">
        <f>Цели!M38</f>
        <v>-21854.54</v>
      </c>
      <c r="M13" s="3">
        <f>Цели!N38</f>
        <v>-22510.176200000002</v>
      </c>
      <c r="N13" s="3">
        <f>Цели!O38</f>
        <v>-23185.481486000001</v>
      </c>
      <c r="O13" s="3">
        <f>Цели!P38</f>
        <v>-23881.045930580003</v>
      </c>
      <c r="P13" s="3">
        <f>Цели!Q38</f>
        <v>-24597.477308497404</v>
      </c>
      <c r="Q13" s="3">
        <f>Цели!R38</f>
        <v>-25335.401627752326</v>
      </c>
      <c r="R13" s="3">
        <f>Цели!S38</f>
        <v>-26095.463676584899</v>
      </c>
      <c r="S13" s="3">
        <f>Цели!T38</f>
        <v>-26878.327586882446</v>
      </c>
      <c r="T13" s="3">
        <f>Цели!U38</f>
        <v>-27684.677414488917</v>
      </c>
      <c r="U13" s="3">
        <f>Цели!V38</f>
        <v>-28515.217736923587</v>
      </c>
      <c r="V13" s="3">
        <f>Цели!W38</f>
        <v>-29370.674269031297</v>
      </c>
      <c r="W13" s="3">
        <f>Цели!X38</f>
        <v>-30251.794497102237</v>
      </c>
      <c r="X13" s="3">
        <f>Цели!Y38</f>
        <v>-31159.348332015306</v>
      </c>
      <c r="Y13" s="3">
        <f>Цели!Z38</f>
        <v>-32094.128781975767</v>
      </c>
      <c r="Z13" s="3">
        <f>Цели!AA38</f>
        <v>-33056.952645435042</v>
      </c>
      <c r="AA13" s="3">
        <f>Цели!AB38</f>
        <v>-34048.661224798088</v>
      </c>
      <c r="AB13" s="3">
        <f>Цели!AC38</f>
        <v>-35070.121061542035</v>
      </c>
      <c r="AC13" s="3">
        <f>Цели!AD38</f>
        <v>-36122.2246933883</v>
      </c>
      <c r="AD13" s="3">
        <f>Цели!AE38</f>
        <v>-37205.891434189951</v>
      </c>
      <c r="AE13" s="3">
        <f>Цели!AF38</f>
        <v>-38322.068177215653</v>
      </c>
      <c r="AF13" s="3">
        <f>Цели!AG38</f>
        <v>-39471.730222532125</v>
      </c>
      <c r="AG13" s="3">
        <f>Цели!AH38</f>
        <v>-40655.88212920809</v>
      </c>
      <c r="AH13" s="3">
        <f>Цели!AI38</f>
        <v>-41875.55859308433</v>
      </c>
      <c r="AI13" s="3">
        <f>Цели!AJ38</f>
        <v>-43131.825350876861</v>
      </c>
      <c r="AJ13" s="3">
        <f>Цели!AK38</f>
        <v>-44425.780111403175</v>
      </c>
      <c r="AK13" s="3">
        <f>Цели!AL38</f>
        <v>-45758.553514745268</v>
      </c>
      <c r="AL13" s="3">
        <f>Цели!AM38</f>
        <v>-47131.310120187627</v>
      </c>
      <c r="AM13" s="3">
        <f>Цели!AN38</f>
        <v>-48545.249423793255</v>
      </c>
      <c r="AN13" s="3">
        <f>Цели!AO38</f>
        <v>-50001.606906507048</v>
      </c>
      <c r="AO13" s="3">
        <f>Цели!AP38</f>
        <v>-51501.655113702262</v>
      </c>
      <c r="AP13" s="3">
        <f>Цели!AQ38</f>
        <v>-53046.704767113333</v>
      </c>
      <c r="AQ13" s="3">
        <f>Цели!AR38</f>
        <v>-54638.105910126731</v>
      </c>
      <c r="AR13" s="3">
        <f>Цели!AS38</f>
        <v>-56277.249087430529</v>
      </c>
      <c r="AS13" s="3">
        <f>Цели!AT38</f>
        <v>-57965.566560053448</v>
      </c>
      <c r="AT13" s="3">
        <f>Цели!AU38</f>
        <v>0</v>
      </c>
      <c r="AU13" s="3">
        <f>Цели!AV38</f>
        <v>0</v>
      </c>
      <c r="AV13" s="3">
        <f>Цели!AW38</f>
        <v>0</v>
      </c>
      <c r="AW13" s="3">
        <f>Цели!AX38</f>
        <v>0</v>
      </c>
      <c r="AX13" s="3">
        <f>Цели!AY38</f>
        <v>0</v>
      </c>
      <c r="AY13" s="3">
        <f>Цели!AZ38</f>
        <v>0</v>
      </c>
      <c r="AZ13" s="3">
        <f>Цели!BA38</f>
        <v>0</v>
      </c>
      <c r="BA13" s="3">
        <f>Цели!BB38</f>
        <v>0</v>
      </c>
      <c r="BB13" s="3">
        <f>Цели!BC38</f>
        <v>0</v>
      </c>
      <c r="BC13" s="3">
        <f>Цели!BD38</f>
        <v>0</v>
      </c>
      <c r="BD13" s="3">
        <f>Цели!BE38</f>
        <v>0</v>
      </c>
      <c r="BE13" s="3">
        <f>Цели!BF38</f>
        <v>0</v>
      </c>
      <c r="BF13" s="3">
        <f>Цели!BG38</f>
        <v>0</v>
      </c>
      <c r="BG13" s="3">
        <f>Цели!BH38</f>
        <v>0</v>
      </c>
      <c r="BH13" s="3">
        <f>Цели!BI38</f>
        <v>0</v>
      </c>
      <c r="BI13" s="3">
        <f>Цели!BJ38</f>
        <v>0</v>
      </c>
    </row>
    <row r="15" spans="2:61" x14ac:dyDescent="0.15">
      <c r="D15" s="34" t="s">
        <v>50</v>
      </c>
      <c r="E15" s="12" t="s">
        <v>4</v>
      </c>
      <c r="F15" s="5">
        <f>Вводные!F15</f>
        <v>0.06</v>
      </c>
      <c r="H15" s="19"/>
      <c r="I15" s="23">
        <v>1</v>
      </c>
      <c r="J15" s="5">
        <f t="shared" ref="J15:BI15" si="1">1 + $F$15</f>
        <v>1.06</v>
      </c>
      <c r="K15" s="5">
        <f t="shared" si="1"/>
        <v>1.06</v>
      </c>
      <c r="L15" s="5">
        <f t="shared" si="1"/>
        <v>1.06</v>
      </c>
      <c r="M15" s="5">
        <f t="shared" si="1"/>
        <v>1.06</v>
      </c>
      <c r="N15" s="5">
        <f t="shared" si="1"/>
        <v>1.06</v>
      </c>
      <c r="O15" s="5">
        <f t="shared" si="1"/>
        <v>1.06</v>
      </c>
      <c r="P15" s="5">
        <f t="shared" si="1"/>
        <v>1.06</v>
      </c>
      <c r="Q15" s="5">
        <f t="shared" si="1"/>
        <v>1.06</v>
      </c>
      <c r="R15" s="5">
        <f t="shared" si="1"/>
        <v>1.06</v>
      </c>
      <c r="S15" s="5">
        <f t="shared" si="1"/>
        <v>1.06</v>
      </c>
      <c r="T15" s="5">
        <f t="shared" si="1"/>
        <v>1.06</v>
      </c>
      <c r="U15" s="5">
        <f t="shared" si="1"/>
        <v>1.06</v>
      </c>
      <c r="V15" s="5">
        <f t="shared" si="1"/>
        <v>1.06</v>
      </c>
      <c r="W15" s="5">
        <f t="shared" si="1"/>
        <v>1.06</v>
      </c>
      <c r="X15" s="5">
        <f t="shared" si="1"/>
        <v>1.06</v>
      </c>
      <c r="Y15" s="5">
        <f t="shared" si="1"/>
        <v>1.06</v>
      </c>
      <c r="Z15" s="5">
        <f t="shared" si="1"/>
        <v>1.06</v>
      </c>
      <c r="AA15" s="5">
        <f t="shared" si="1"/>
        <v>1.06</v>
      </c>
      <c r="AB15" s="5">
        <f t="shared" si="1"/>
        <v>1.06</v>
      </c>
      <c r="AC15" s="5">
        <f t="shared" si="1"/>
        <v>1.06</v>
      </c>
      <c r="AD15" s="5">
        <f t="shared" si="1"/>
        <v>1.06</v>
      </c>
      <c r="AE15" s="5">
        <f t="shared" si="1"/>
        <v>1.06</v>
      </c>
      <c r="AF15" s="5">
        <f t="shared" si="1"/>
        <v>1.06</v>
      </c>
      <c r="AG15" s="5">
        <f t="shared" si="1"/>
        <v>1.06</v>
      </c>
      <c r="AH15" s="5">
        <f t="shared" si="1"/>
        <v>1.06</v>
      </c>
      <c r="AI15" s="5">
        <f t="shared" si="1"/>
        <v>1.06</v>
      </c>
      <c r="AJ15" s="5">
        <f t="shared" si="1"/>
        <v>1.06</v>
      </c>
      <c r="AK15" s="5">
        <f t="shared" si="1"/>
        <v>1.06</v>
      </c>
      <c r="AL15" s="5">
        <f t="shared" si="1"/>
        <v>1.06</v>
      </c>
      <c r="AM15" s="5">
        <f t="shared" si="1"/>
        <v>1.06</v>
      </c>
      <c r="AN15" s="5">
        <f t="shared" si="1"/>
        <v>1.06</v>
      </c>
      <c r="AO15" s="5">
        <f t="shared" si="1"/>
        <v>1.06</v>
      </c>
      <c r="AP15" s="5">
        <f t="shared" si="1"/>
        <v>1.06</v>
      </c>
      <c r="AQ15" s="5">
        <f t="shared" si="1"/>
        <v>1.06</v>
      </c>
      <c r="AR15" s="5">
        <f t="shared" si="1"/>
        <v>1.06</v>
      </c>
      <c r="AS15" s="5">
        <f t="shared" si="1"/>
        <v>1.06</v>
      </c>
      <c r="AT15" s="5">
        <f t="shared" si="1"/>
        <v>1.06</v>
      </c>
      <c r="AU15" s="5">
        <f t="shared" si="1"/>
        <v>1.06</v>
      </c>
      <c r="AV15" s="5">
        <f t="shared" si="1"/>
        <v>1.06</v>
      </c>
      <c r="AW15" s="5">
        <f t="shared" si="1"/>
        <v>1.06</v>
      </c>
      <c r="AX15" s="5">
        <f t="shared" si="1"/>
        <v>1.06</v>
      </c>
      <c r="AY15" s="5">
        <f t="shared" si="1"/>
        <v>1.06</v>
      </c>
      <c r="AZ15" s="5">
        <f t="shared" si="1"/>
        <v>1.06</v>
      </c>
      <c r="BA15" s="5">
        <f t="shared" si="1"/>
        <v>1.06</v>
      </c>
      <c r="BB15" s="5">
        <f t="shared" si="1"/>
        <v>1.06</v>
      </c>
      <c r="BC15" s="5">
        <f t="shared" si="1"/>
        <v>1.06</v>
      </c>
      <c r="BD15" s="5">
        <f t="shared" si="1"/>
        <v>1.06</v>
      </c>
      <c r="BE15" s="5">
        <f t="shared" si="1"/>
        <v>1.06</v>
      </c>
      <c r="BF15" s="5">
        <f t="shared" si="1"/>
        <v>1.06</v>
      </c>
      <c r="BG15" s="5">
        <f t="shared" si="1"/>
        <v>1.06</v>
      </c>
      <c r="BH15" s="5">
        <f t="shared" si="1"/>
        <v>1.06</v>
      </c>
      <c r="BI15" s="5">
        <f t="shared" si="1"/>
        <v>1.06</v>
      </c>
    </row>
    <row r="17" spans="4:61" ht="12" thickBot="1" x14ac:dyDescent="0.2">
      <c r="D17" s="8" t="s">
        <v>51</v>
      </c>
      <c r="E17" s="15" t="s">
        <v>110</v>
      </c>
      <c r="I17" s="7">
        <f t="shared" ref="I17:BH17" si="2">I10 + H17 * H15</f>
        <v>19000</v>
      </c>
      <c r="J17" s="7">
        <f t="shared" si="2"/>
        <v>70880</v>
      </c>
      <c r="K17" s="7">
        <f t="shared" si="2"/>
        <v>132199.19999999998</v>
      </c>
      <c r="L17" s="7">
        <f t="shared" si="2"/>
        <v>199449.54399999999</v>
      </c>
      <c r="M17" s="7">
        <f t="shared" si="2"/>
        <v>273054.46039999998</v>
      </c>
      <c r="N17" s="7">
        <f t="shared" si="2"/>
        <v>356464.81009679998</v>
      </c>
      <c r="O17" s="7">
        <f t="shared" si="2"/>
        <v>447340.59323759202</v>
      </c>
      <c r="P17" s="7">
        <f t="shared" si="2"/>
        <v>546203.56020288111</v>
      </c>
      <c r="Q17" s="7">
        <f t="shared" si="2"/>
        <v>653608.98112721846</v>
      </c>
      <c r="R17" s="7">
        <f t="shared" si="2"/>
        <v>770147.72352638107</v>
      </c>
      <c r="S17" s="7">
        <f t="shared" si="2"/>
        <v>896448.45657543931</v>
      </c>
      <c r="T17" s="7">
        <f t="shared" si="2"/>
        <v>1033179.9896965653</v>
      </c>
      <c r="U17" s="7">
        <f t="shared" si="2"/>
        <v>1181053.7535767569</v>
      </c>
      <c r="V17" s="7">
        <f t="shared" si="2"/>
        <v>1340826.4322247119</v>
      </c>
      <c r="W17" s="7">
        <f t="shared" si="2"/>
        <v>1513302.7551945446</v>
      </c>
      <c r="X17" s="7">
        <f t="shared" si="2"/>
        <v>1699338.4596536579</v>
      </c>
      <c r="Y17" s="7">
        <f t="shared" si="2"/>
        <v>1899843.4325547412</v>
      </c>
      <c r="Z17" s="7">
        <f t="shared" si="2"/>
        <v>2120743.5866863606</v>
      </c>
      <c r="AA17" s="7">
        <f t="shared" si="2"/>
        <v>2358555.0365112275</v>
      </c>
      <c r="AB17" s="7">
        <f t="shared" si="2"/>
        <v>2614402.1783642969</v>
      </c>
      <c r="AC17" s="7">
        <f t="shared" si="2"/>
        <v>2889480.1639184221</v>
      </c>
      <c r="AD17" s="7">
        <f t="shared" si="2"/>
        <v>3185059.244251363</v>
      </c>
      <c r="AE17" s="7">
        <f t="shared" si="2"/>
        <v>3502489.3775192155</v>
      </c>
      <c r="AF17" s="7">
        <f t="shared" si="2"/>
        <v>3843205.1161415218</v>
      </c>
      <c r="AG17" s="7">
        <f t="shared" si="2"/>
        <v>4208730.7903603017</v>
      </c>
      <c r="AH17" s="7">
        <f t="shared" si="2"/>
        <v>4600686.0060497168</v>
      </c>
      <c r="AI17" s="7">
        <f t="shared" si="2"/>
        <v>5020791.4757285304</v>
      </c>
      <c r="AJ17" s="7">
        <f t="shared" si="2"/>
        <v>5485875.2028675489</v>
      </c>
      <c r="AK17" s="7">
        <f t="shared" si="2"/>
        <v>5983779.040792767</v>
      </c>
      <c r="AL17" s="7">
        <f t="shared" si="2"/>
        <v>6516619.648766093</v>
      </c>
      <c r="AM17" s="7">
        <f t="shared" si="2"/>
        <v>7086645.1091835918</v>
      </c>
      <c r="AN17" s="7">
        <f t="shared" si="2"/>
        <v>7696242.9456708869</v>
      </c>
      <c r="AO17" s="7">
        <f t="shared" si="2"/>
        <v>8347948.626245507</v>
      </c>
      <c r="AP17" s="7">
        <f t="shared" si="2"/>
        <v>9044454.5807696357</v>
      </c>
      <c r="AQ17" s="7">
        <f t="shared" si="2"/>
        <v>9788619.7636736948</v>
      </c>
      <c r="AR17" s="7">
        <f t="shared" si="2"/>
        <v>10583479.794793734</v>
      </c>
      <c r="AS17" s="7">
        <f t="shared" si="2"/>
        <v>11432257.713139962</v>
      </c>
      <c r="AT17" s="7">
        <f t="shared" si="2"/>
        <v>12398079.914063578</v>
      </c>
      <c r="AU17" s="7">
        <f t="shared" si="2"/>
        <v>13430248.049186667</v>
      </c>
      <c r="AV17" s="7">
        <f t="shared" si="2"/>
        <v>14532994.772625521</v>
      </c>
      <c r="AW17" s="7">
        <f t="shared" si="2"/>
        <v>15710814.254685335</v>
      </c>
      <c r="AX17" s="7">
        <f t="shared" si="2"/>
        <v>16968478.099539805</v>
      </c>
      <c r="AY17" s="7">
        <f t="shared" si="2"/>
        <v>18311052.224772744</v>
      </c>
      <c r="AZ17" s="7">
        <f t="shared" si="2"/>
        <v>19743914.760697477</v>
      </c>
      <c r="BA17" s="7">
        <f t="shared" si="2"/>
        <v>21272775.030850846</v>
      </c>
      <c r="BB17" s="7">
        <f t="shared" si="2"/>
        <v>22903693.678748764</v>
      </c>
      <c r="BC17" s="7">
        <f t="shared" si="2"/>
        <v>24643104.009901963</v>
      </c>
      <c r="BD17" s="7">
        <f t="shared" si="2"/>
        <v>26497834.622237202</v>
      </c>
      <c r="BE17" s="7">
        <f t="shared" si="2"/>
        <v>28475133.402464785</v>
      </c>
      <c r="BF17" s="7">
        <f t="shared" si="2"/>
        <v>30582692.970592823</v>
      </c>
      <c r="BG17" s="7">
        <f t="shared" si="2"/>
        <v>32828677.65972795</v>
      </c>
      <c r="BH17" s="7">
        <f t="shared" si="2"/>
        <v>35221752.123538174</v>
      </c>
      <c r="BI17" s="7">
        <f>BI10 + BH17 * BH15</f>
        <v>37771111.669303805</v>
      </c>
    </row>
    <row r="18" spans="4:61" ht="12" thickTop="1" x14ac:dyDescent="0.1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F91A4-97DB-4BDF-9CDF-DBEE5205829B}">
  <dimension ref="A2:BM45"/>
  <sheetViews>
    <sheetView showGridLines="0" zoomScale="150" zoomScaleNormal="150" workbookViewId="0">
      <pane xSplit="7" ySplit="6" topLeftCell="H7" activePane="bottomRight" state="frozen"/>
      <selection activeCell="E10" sqref="E10"/>
      <selection pane="topRight" activeCell="E10" sqref="E10"/>
      <selection pane="bottomLeft" activeCell="E10" sqref="E10"/>
      <selection pane="bottomRight" activeCell="F31" sqref="D31:F31"/>
    </sheetView>
  </sheetViews>
  <sheetFormatPr baseColWidth="10" defaultColWidth="0" defaultRowHeight="11" x14ac:dyDescent="0.15"/>
  <cols>
    <col min="1" max="1" width="2.75" customWidth="1"/>
    <col min="2" max="3" width="3.75" customWidth="1"/>
    <col min="4" max="4" width="65.25" bestFit="1" customWidth="1"/>
    <col min="5" max="5" width="11.25" bestFit="1" customWidth="1"/>
    <col min="6" max="6" width="12" customWidth="1"/>
    <col min="7" max="7" width="9" customWidth="1"/>
    <col min="8" max="8" width="2.75" customWidth="1"/>
    <col min="9" max="63" width="10.75" customWidth="1"/>
    <col min="64" max="65" width="0" hidden="1" customWidth="1"/>
    <col min="66" max="16384" width="9" hidden="1"/>
  </cols>
  <sheetData>
    <row r="2" spans="2:62" x14ac:dyDescent="0.15">
      <c r="E2" s="12"/>
    </row>
    <row r="3" spans="2:62" x14ac:dyDescent="0.15">
      <c r="D3" s="8" t="str">
        <f>Вводные!D3</f>
        <v>Год</v>
      </c>
      <c r="E3" s="12"/>
      <c r="J3" s="8">
        <f>Вводные!J3</f>
        <v>2024</v>
      </c>
      <c r="K3" s="8">
        <f>Вводные!K3</f>
        <v>2025</v>
      </c>
      <c r="L3" s="8">
        <f>Вводные!L3</f>
        <v>2026</v>
      </c>
      <c r="M3" s="8">
        <f>Вводные!M3</f>
        <v>2027</v>
      </c>
      <c r="N3" s="8">
        <f>Вводные!N3</f>
        <v>2028</v>
      </c>
      <c r="O3" s="8">
        <f>Вводные!O3</f>
        <v>2029</v>
      </c>
      <c r="P3" s="8">
        <f>Вводные!P3</f>
        <v>2030</v>
      </c>
      <c r="Q3" s="8">
        <f>Вводные!Q3</f>
        <v>2031</v>
      </c>
      <c r="R3" s="8">
        <f>Вводные!R3</f>
        <v>2032</v>
      </c>
      <c r="S3" s="8">
        <f>Вводные!S3</f>
        <v>2033</v>
      </c>
      <c r="T3" s="8">
        <f>Вводные!T3</f>
        <v>2034</v>
      </c>
      <c r="U3" s="8">
        <f>Вводные!U3</f>
        <v>2035</v>
      </c>
      <c r="V3" s="8">
        <f>Вводные!V3</f>
        <v>2036</v>
      </c>
      <c r="W3" s="8">
        <f>Вводные!W3</f>
        <v>2037</v>
      </c>
      <c r="X3" s="8">
        <f>Вводные!X3</f>
        <v>2038</v>
      </c>
      <c r="Y3" s="8">
        <f>Вводные!Y3</f>
        <v>2039</v>
      </c>
      <c r="Z3" s="8">
        <f>Вводные!Z3</f>
        <v>2040</v>
      </c>
      <c r="AA3" s="8">
        <f>Вводные!AA3</f>
        <v>2041</v>
      </c>
      <c r="AB3" s="8">
        <f>Вводные!AB3</f>
        <v>2042</v>
      </c>
      <c r="AC3" s="8">
        <f>Вводные!AC3</f>
        <v>2043</v>
      </c>
      <c r="AD3" s="8">
        <f>Вводные!AD3</f>
        <v>2044</v>
      </c>
      <c r="AE3" s="8">
        <f>Вводные!AE3</f>
        <v>2045</v>
      </c>
      <c r="AF3" s="8">
        <f>Вводные!AF3</f>
        <v>2046</v>
      </c>
      <c r="AG3" s="8">
        <f>Вводные!AG3</f>
        <v>2047</v>
      </c>
      <c r="AH3" s="8">
        <f>Вводные!AH3</f>
        <v>2048</v>
      </c>
      <c r="AI3" s="8">
        <f>Вводные!AI3</f>
        <v>2049</v>
      </c>
      <c r="AJ3" s="8">
        <f>Вводные!AJ3</f>
        <v>2050</v>
      </c>
      <c r="AK3" s="8">
        <f>Вводные!AK3</f>
        <v>2051</v>
      </c>
      <c r="AL3" s="8">
        <f>Вводные!AL3</f>
        <v>2052</v>
      </c>
      <c r="AM3" s="8">
        <f>Вводные!AM3</f>
        <v>2053</v>
      </c>
      <c r="AN3" s="8">
        <f>Вводные!AN3</f>
        <v>2054</v>
      </c>
      <c r="AO3" s="8">
        <f>Вводные!AO3</f>
        <v>2055</v>
      </c>
      <c r="AP3" s="8">
        <f>Вводные!AP3</f>
        <v>2056</v>
      </c>
      <c r="AQ3" s="8">
        <f>Вводные!AQ3</f>
        <v>2057</v>
      </c>
      <c r="AR3" s="8">
        <f>Вводные!AR3</f>
        <v>2058</v>
      </c>
      <c r="AS3" s="8">
        <f>Вводные!AS3</f>
        <v>2059</v>
      </c>
      <c r="AT3" s="8">
        <f>Вводные!AT3</f>
        <v>2060</v>
      </c>
      <c r="AU3" s="8">
        <f>Вводные!AU3</f>
        <v>2061</v>
      </c>
      <c r="AV3" s="8">
        <f>Вводные!AV3</f>
        <v>2062</v>
      </c>
      <c r="AW3" s="8">
        <f>Вводные!AW3</f>
        <v>2063</v>
      </c>
      <c r="AX3" s="8">
        <f>Вводные!AX3</f>
        <v>2064</v>
      </c>
      <c r="AY3" s="8">
        <f>Вводные!AY3</f>
        <v>2065</v>
      </c>
      <c r="AZ3" s="8">
        <f>Вводные!AZ3</f>
        <v>2066</v>
      </c>
      <c r="BA3" s="8">
        <f>Вводные!BA3</f>
        <v>2067</v>
      </c>
      <c r="BB3" s="8">
        <f>Вводные!BB3</f>
        <v>2068</v>
      </c>
      <c r="BC3" s="8">
        <f>Вводные!BC3</f>
        <v>2069</v>
      </c>
      <c r="BD3" s="8">
        <f>Вводные!BD3</f>
        <v>2070</v>
      </c>
      <c r="BE3" s="8">
        <f>Вводные!BE3</f>
        <v>2071</v>
      </c>
      <c r="BF3" s="8">
        <f>Вводные!BF3</f>
        <v>2072</v>
      </c>
      <c r="BG3" s="8">
        <f>Вводные!BG3</f>
        <v>2073</v>
      </c>
      <c r="BH3" s="8">
        <f>Вводные!BH3</f>
        <v>2074</v>
      </c>
      <c r="BI3" s="8">
        <f>Вводные!BI3</f>
        <v>2075</v>
      </c>
      <c r="BJ3" s="8">
        <f>Вводные!BJ3</f>
        <v>2076</v>
      </c>
    </row>
    <row r="4" spans="2:62" x14ac:dyDescent="0.15">
      <c r="D4" t="str">
        <f>Вводные!D4</f>
        <v>Возраст</v>
      </c>
      <c r="E4" s="12"/>
      <c r="J4">
        <f>Вводные!J4</f>
        <v>31</v>
      </c>
      <c r="K4">
        <f>Вводные!K4</f>
        <v>32</v>
      </c>
      <c r="L4">
        <f>Вводные!L4</f>
        <v>33</v>
      </c>
      <c r="M4">
        <f>Вводные!M4</f>
        <v>34</v>
      </c>
      <c r="N4">
        <f>Вводные!N4</f>
        <v>35</v>
      </c>
      <c r="O4">
        <f>Вводные!O4</f>
        <v>36</v>
      </c>
      <c r="P4">
        <f>Вводные!P4</f>
        <v>37</v>
      </c>
      <c r="Q4">
        <f>Вводные!Q4</f>
        <v>38</v>
      </c>
      <c r="R4">
        <f>Вводные!R4</f>
        <v>39</v>
      </c>
      <c r="S4">
        <f>Вводные!S4</f>
        <v>40</v>
      </c>
      <c r="T4">
        <f>Вводные!T4</f>
        <v>41</v>
      </c>
      <c r="U4">
        <f>Вводные!U4</f>
        <v>42</v>
      </c>
      <c r="V4">
        <f>Вводные!V4</f>
        <v>43</v>
      </c>
      <c r="W4">
        <f>Вводные!W4</f>
        <v>44</v>
      </c>
      <c r="X4">
        <f>Вводные!X4</f>
        <v>45</v>
      </c>
      <c r="Y4">
        <f>Вводные!Y4</f>
        <v>46</v>
      </c>
      <c r="Z4">
        <f>Вводные!Z4</f>
        <v>47</v>
      </c>
      <c r="AA4">
        <f>Вводные!AA4</f>
        <v>48</v>
      </c>
      <c r="AB4">
        <f>Вводные!AB4</f>
        <v>49</v>
      </c>
      <c r="AC4">
        <f>Вводные!AC4</f>
        <v>50</v>
      </c>
      <c r="AD4">
        <f>Вводные!AD4</f>
        <v>51</v>
      </c>
      <c r="AE4">
        <f>Вводные!AE4</f>
        <v>52</v>
      </c>
      <c r="AF4">
        <f>Вводные!AF4</f>
        <v>53</v>
      </c>
      <c r="AG4">
        <f>Вводные!AG4</f>
        <v>54</v>
      </c>
      <c r="AH4">
        <f>Вводные!AH4</f>
        <v>55</v>
      </c>
      <c r="AI4">
        <f>Вводные!AI4</f>
        <v>56</v>
      </c>
      <c r="AJ4">
        <f>Вводные!AJ4</f>
        <v>57</v>
      </c>
      <c r="AK4">
        <f>Вводные!AK4</f>
        <v>58</v>
      </c>
      <c r="AL4">
        <f>Вводные!AL4</f>
        <v>59</v>
      </c>
      <c r="AM4">
        <f>Вводные!AM4</f>
        <v>60</v>
      </c>
      <c r="AN4">
        <f>Вводные!AN4</f>
        <v>61</v>
      </c>
      <c r="AO4">
        <f>Вводные!AO4</f>
        <v>62</v>
      </c>
      <c r="AP4">
        <f>Вводные!AP4</f>
        <v>63</v>
      </c>
      <c r="AQ4">
        <f>Вводные!AQ4</f>
        <v>64</v>
      </c>
      <c r="AR4">
        <f>Вводные!AR4</f>
        <v>65</v>
      </c>
      <c r="AS4">
        <f>Вводные!AS4</f>
        <v>66</v>
      </c>
      <c r="AT4">
        <f>Вводные!AT4</f>
        <v>67</v>
      </c>
      <c r="AU4">
        <f>Вводные!AU4</f>
        <v>68</v>
      </c>
      <c r="AV4">
        <f>Вводные!AV4</f>
        <v>69</v>
      </c>
      <c r="AW4">
        <f>Вводные!AW4</f>
        <v>70</v>
      </c>
      <c r="AX4">
        <f>Вводные!AX4</f>
        <v>71</v>
      </c>
      <c r="AY4">
        <f>Вводные!AY4</f>
        <v>72</v>
      </c>
      <c r="AZ4">
        <f>Вводные!AZ4</f>
        <v>73</v>
      </c>
      <c r="BA4">
        <f>Вводные!BA4</f>
        <v>74</v>
      </c>
      <c r="BB4">
        <f>Вводные!BB4</f>
        <v>75</v>
      </c>
      <c r="BC4">
        <f>Вводные!BC4</f>
        <v>76</v>
      </c>
      <c r="BD4">
        <f>Вводные!BD4</f>
        <v>77</v>
      </c>
      <c r="BE4">
        <f>Вводные!BE4</f>
        <v>78</v>
      </c>
      <c r="BF4">
        <f>Вводные!BF4</f>
        <v>79</v>
      </c>
      <c r="BG4">
        <f>Вводные!BG4</f>
        <v>80</v>
      </c>
      <c r="BH4">
        <f>Вводные!BH4</f>
        <v>81</v>
      </c>
      <c r="BI4">
        <f>Вводные!BI4</f>
        <v>82</v>
      </c>
      <c r="BJ4">
        <f>Вводные!BJ4</f>
        <v>83</v>
      </c>
    </row>
    <row r="5" spans="2:62" x14ac:dyDescent="0.15">
      <c r="D5" t="str">
        <f>Вводные!D5</f>
        <v>№ периода</v>
      </c>
      <c r="E5" s="12"/>
      <c r="J5">
        <f>Вводные!J5</f>
        <v>1</v>
      </c>
      <c r="K5">
        <f>Вводные!K5</f>
        <v>2</v>
      </c>
      <c r="L5">
        <f>Вводные!L5</f>
        <v>3</v>
      </c>
      <c r="M5">
        <f>Вводные!M5</f>
        <v>4</v>
      </c>
      <c r="N5">
        <f>Вводные!N5</f>
        <v>5</v>
      </c>
      <c r="O5">
        <f>Вводные!O5</f>
        <v>6</v>
      </c>
      <c r="P5">
        <f>Вводные!P5</f>
        <v>7</v>
      </c>
      <c r="Q5">
        <f>Вводные!Q5</f>
        <v>8</v>
      </c>
      <c r="R5">
        <f>Вводные!R5</f>
        <v>9</v>
      </c>
      <c r="S5">
        <f>Вводные!S5</f>
        <v>10</v>
      </c>
      <c r="T5">
        <f>Вводные!T5</f>
        <v>11</v>
      </c>
      <c r="U5">
        <f>Вводные!U5</f>
        <v>12</v>
      </c>
      <c r="V5">
        <f>Вводные!V5</f>
        <v>13</v>
      </c>
      <c r="W5">
        <f>Вводные!W5</f>
        <v>14</v>
      </c>
      <c r="X5">
        <f>Вводные!X5</f>
        <v>15</v>
      </c>
      <c r="Y5">
        <f>Вводные!Y5</f>
        <v>16</v>
      </c>
      <c r="Z5">
        <f>Вводные!Z5</f>
        <v>17</v>
      </c>
      <c r="AA5">
        <f>Вводные!AA5</f>
        <v>18</v>
      </c>
      <c r="AB5">
        <f>Вводные!AB5</f>
        <v>19</v>
      </c>
      <c r="AC5">
        <f>Вводные!AC5</f>
        <v>20</v>
      </c>
      <c r="AD5">
        <f>Вводные!AD5</f>
        <v>21</v>
      </c>
      <c r="AE5">
        <f>Вводные!AE5</f>
        <v>22</v>
      </c>
      <c r="AF5">
        <f>Вводные!AF5</f>
        <v>23</v>
      </c>
      <c r="AG5">
        <f>Вводные!AG5</f>
        <v>24</v>
      </c>
      <c r="AH5">
        <f>Вводные!AH5</f>
        <v>25</v>
      </c>
      <c r="AI5">
        <f>Вводные!AI5</f>
        <v>26</v>
      </c>
      <c r="AJ5">
        <f>Вводные!AJ5</f>
        <v>27</v>
      </c>
      <c r="AK5">
        <f>Вводные!AK5</f>
        <v>28</v>
      </c>
      <c r="AL5">
        <f>Вводные!AL5</f>
        <v>29</v>
      </c>
      <c r="AM5">
        <f>Вводные!AM5</f>
        <v>30</v>
      </c>
      <c r="AN5">
        <f>Вводные!AN5</f>
        <v>31</v>
      </c>
      <c r="AO5">
        <f>Вводные!AO5</f>
        <v>32</v>
      </c>
      <c r="AP5">
        <f>Вводные!AP5</f>
        <v>33</v>
      </c>
      <c r="AQ5">
        <f>Вводные!AQ5</f>
        <v>34</v>
      </c>
      <c r="AR5">
        <f>Вводные!AR5</f>
        <v>35</v>
      </c>
      <c r="AS5">
        <f>Вводные!AS5</f>
        <v>36</v>
      </c>
      <c r="AT5">
        <f>Вводные!AT5</f>
        <v>37</v>
      </c>
      <c r="AU5">
        <f>Вводные!AU5</f>
        <v>38</v>
      </c>
      <c r="AV5">
        <f>Вводные!AV5</f>
        <v>39</v>
      </c>
      <c r="AW5">
        <f>Вводные!AW5</f>
        <v>40</v>
      </c>
      <c r="AX5">
        <f>Вводные!AX5</f>
        <v>41</v>
      </c>
      <c r="AY5">
        <f>Вводные!AY5</f>
        <v>42</v>
      </c>
      <c r="AZ5">
        <f>Вводные!AZ5</f>
        <v>43</v>
      </c>
      <c r="BA5">
        <f>Вводные!BA5</f>
        <v>44</v>
      </c>
      <c r="BB5">
        <f>Вводные!BB5</f>
        <v>45</v>
      </c>
      <c r="BC5">
        <f>Вводные!BC5</f>
        <v>46</v>
      </c>
      <c r="BD5">
        <f>Вводные!BD5</f>
        <v>47</v>
      </c>
      <c r="BE5">
        <f>Вводные!BE5</f>
        <v>48</v>
      </c>
      <c r="BF5">
        <f>Вводные!BF5</f>
        <v>49</v>
      </c>
      <c r="BG5">
        <f>Вводные!BG5</f>
        <v>50</v>
      </c>
      <c r="BH5">
        <f>Вводные!BH5</f>
        <v>51</v>
      </c>
      <c r="BI5">
        <f>Вводные!BI5</f>
        <v>52</v>
      </c>
      <c r="BJ5">
        <f>Вводные!BJ5</f>
        <v>53</v>
      </c>
    </row>
    <row r="6" spans="2:62" x14ac:dyDescent="0.15">
      <c r="E6" s="12"/>
    </row>
    <row r="7" spans="2:62" x14ac:dyDescent="0.15">
      <c r="E7" s="12"/>
    </row>
    <row r="8" spans="2:62" ht="12" x14ac:dyDescent="0.15">
      <c r="B8" s="1">
        <f>MAX( $B$7:B7 ) + 1</f>
        <v>1</v>
      </c>
      <c r="C8" s="1"/>
      <c r="D8" s="1" t="s">
        <v>65</v>
      </c>
      <c r="E8" s="1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</row>
    <row r="9" spans="2:62" x14ac:dyDescent="0.15">
      <c r="E9" s="12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</row>
    <row r="10" spans="2:62" x14ac:dyDescent="0.15">
      <c r="C10" s="2">
        <f>MAX( $B$7:C9 ) + 0.1</f>
        <v>1.1000000000000001</v>
      </c>
      <c r="D10" s="2" t="s">
        <v>81</v>
      </c>
      <c r="E10" s="1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</row>
    <row r="11" spans="2:62" x14ac:dyDescent="0.15">
      <c r="E11" s="12"/>
    </row>
    <row r="12" spans="2:62" x14ac:dyDescent="0.15">
      <c r="D12" s="8" t="s">
        <v>70</v>
      </c>
      <c r="E12" s="15" t="s">
        <v>69</v>
      </c>
      <c r="F12" s="37">
        <f>Вводные!F257</f>
        <v>50</v>
      </c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</row>
    <row r="13" spans="2:62" x14ac:dyDescent="0.15">
      <c r="D13" t="s">
        <v>71</v>
      </c>
      <c r="E13" s="12" t="s">
        <v>69</v>
      </c>
      <c r="F13" s="3">
        <f ca="1">YEAR(TODAY()) - Вводные!F11</f>
        <v>33</v>
      </c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</row>
    <row r="14" spans="2:62" x14ac:dyDescent="0.15">
      <c r="D14" s="8" t="s">
        <v>67</v>
      </c>
      <c r="E14" s="15" t="s">
        <v>23</v>
      </c>
      <c r="F14" s="38">
        <f ca="1">YEAR(TODAY()) + (F12 - F13)</f>
        <v>2043</v>
      </c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</row>
    <row r="15" spans="2:62" x14ac:dyDescent="0.15">
      <c r="D15" s="8" t="s">
        <v>73</v>
      </c>
      <c r="E15" s="15" t="s">
        <v>124</v>
      </c>
      <c r="F15" s="37">
        <f ca="1">HLOOKUP($F$14,Сбережения!$I$3:$BI$17,15,0)</f>
        <v>2614402.1783642969</v>
      </c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</row>
    <row r="16" spans="2:62" x14ac:dyDescent="0.15">
      <c r="D16" t="s">
        <v>74</v>
      </c>
      <c r="E16" s="12" t="s">
        <v>4</v>
      </c>
      <c r="F16" s="5">
        <f>Вводные!F15</f>
        <v>0.06</v>
      </c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</row>
    <row r="17" spans="3:62" x14ac:dyDescent="0.15">
      <c r="D17" t="s">
        <v>75</v>
      </c>
      <c r="E17" s="12" t="s">
        <v>4</v>
      </c>
      <c r="F17" s="5">
        <f ca="1">AVERAGE(J23:INDEX(J23:BJ23,1,MATCH(F14,J3:BJ3,0)))</f>
        <v>3.1000000000000017E-2</v>
      </c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</row>
    <row r="18" spans="3:62" x14ac:dyDescent="0.15">
      <c r="D18" t="s">
        <v>76</v>
      </c>
      <c r="E18" s="12" t="s">
        <v>4</v>
      </c>
      <c r="F18" s="5">
        <f ca="1">(1 + F16) / (1 + F17) -1</f>
        <v>2.8128031037827572E-2</v>
      </c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</row>
    <row r="19" spans="3:62" x14ac:dyDescent="0.15">
      <c r="D19" t="s">
        <v>77</v>
      </c>
      <c r="E19" s="12" t="s">
        <v>110</v>
      </c>
      <c r="F19" s="3">
        <f ca="1">F15 * F18</f>
        <v>73537.98561839496</v>
      </c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</row>
    <row r="20" spans="3:62" x14ac:dyDescent="0.15">
      <c r="D20" s="8" t="s">
        <v>78</v>
      </c>
      <c r="E20" s="15" t="s">
        <v>110</v>
      </c>
      <c r="F20" s="37">
        <f ca="1">F19*INDEX(J24:BJ24,1,MATCH(F14,J3:BJ3,0))</f>
        <v>39940.652988635164</v>
      </c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</row>
    <row r="21" spans="3:62" x14ac:dyDescent="0.15">
      <c r="D21" s="8" t="s">
        <v>93</v>
      </c>
      <c r="E21" s="15" t="s">
        <v>108</v>
      </c>
      <c r="F21" s="37">
        <f ca="1">F20 / Вводные!F12</f>
        <v>3328.3877490529303</v>
      </c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</row>
    <row r="22" spans="3:62" x14ac:dyDescent="0.15">
      <c r="E22" s="12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</row>
    <row r="23" spans="3:62" x14ac:dyDescent="0.15">
      <c r="D23" t="s">
        <v>21</v>
      </c>
      <c r="E23" s="12" t="s">
        <v>4</v>
      </c>
      <c r="J23" s="5">
        <f>Вводные!J14</f>
        <v>0.05</v>
      </c>
      <c r="K23" s="5">
        <f>Вводные!K14</f>
        <v>0.03</v>
      </c>
      <c r="L23" s="5">
        <f>Вводные!L14</f>
        <v>0.03</v>
      </c>
      <c r="M23" s="5">
        <f>Вводные!M14</f>
        <v>0.03</v>
      </c>
      <c r="N23" s="5">
        <f>Вводные!N14</f>
        <v>0.03</v>
      </c>
      <c r="O23" s="5">
        <f>Вводные!O14</f>
        <v>0.03</v>
      </c>
      <c r="P23" s="5">
        <f>Вводные!P14</f>
        <v>0.03</v>
      </c>
      <c r="Q23" s="5">
        <f>Вводные!Q14</f>
        <v>0.03</v>
      </c>
      <c r="R23" s="5">
        <f>Вводные!R14</f>
        <v>0.03</v>
      </c>
      <c r="S23" s="5">
        <f>Вводные!S14</f>
        <v>0.03</v>
      </c>
      <c r="T23" s="5">
        <f>Вводные!T14</f>
        <v>0.03</v>
      </c>
      <c r="U23" s="5">
        <f>Вводные!U14</f>
        <v>0.03</v>
      </c>
      <c r="V23" s="5">
        <f>Вводные!V14</f>
        <v>0.03</v>
      </c>
      <c r="W23" s="5">
        <f>Вводные!W14</f>
        <v>0.03</v>
      </c>
      <c r="X23" s="5">
        <f>Вводные!X14</f>
        <v>0.03</v>
      </c>
      <c r="Y23" s="5">
        <f>Вводные!Y14</f>
        <v>0.03</v>
      </c>
      <c r="Z23" s="5">
        <f>Вводные!Z14</f>
        <v>0.03</v>
      </c>
      <c r="AA23" s="5">
        <f>Вводные!AA14</f>
        <v>0.03</v>
      </c>
      <c r="AB23" s="5">
        <f>Вводные!AB14</f>
        <v>0.03</v>
      </c>
      <c r="AC23" s="5">
        <f>Вводные!AC14</f>
        <v>0.03</v>
      </c>
      <c r="AD23" s="5">
        <f>Вводные!AD14</f>
        <v>0.03</v>
      </c>
      <c r="AE23" s="5">
        <f>Вводные!AE14</f>
        <v>0.03</v>
      </c>
      <c r="AF23" s="5">
        <f>Вводные!AF14</f>
        <v>0.03</v>
      </c>
      <c r="AG23" s="5">
        <f>Вводные!AG14</f>
        <v>0.03</v>
      </c>
      <c r="AH23" s="5">
        <f>Вводные!AH14</f>
        <v>0.03</v>
      </c>
      <c r="AI23" s="5">
        <f>Вводные!AI14</f>
        <v>0.03</v>
      </c>
      <c r="AJ23" s="5">
        <f>Вводные!AJ14</f>
        <v>0.03</v>
      </c>
      <c r="AK23" s="5">
        <f>Вводные!AK14</f>
        <v>0.03</v>
      </c>
      <c r="AL23" s="5">
        <f>Вводные!AL14</f>
        <v>0.03</v>
      </c>
      <c r="AM23" s="5">
        <f>Вводные!AM14</f>
        <v>0.03</v>
      </c>
      <c r="AN23" s="5">
        <f>Вводные!AN14</f>
        <v>0.03</v>
      </c>
      <c r="AO23" s="5">
        <f>Вводные!AO14</f>
        <v>0.03</v>
      </c>
      <c r="AP23" s="5">
        <f>Вводные!AP14</f>
        <v>0.03</v>
      </c>
      <c r="AQ23" s="5">
        <f>Вводные!AQ14</f>
        <v>0.03</v>
      </c>
      <c r="AR23" s="5">
        <f>Вводные!AR14</f>
        <v>0.03</v>
      </c>
      <c r="AS23" s="5">
        <f>Вводные!AS14</f>
        <v>0.03</v>
      </c>
      <c r="AT23" s="5">
        <f>Вводные!AT14</f>
        <v>0.03</v>
      </c>
      <c r="AU23" s="5">
        <f>Вводные!AU14</f>
        <v>0.03</v>
      </c>
      <c r="AV23" s="5">
        <f>Вводные!AV14</f>
        <v>0.03</v>
      </c>
      <c r="AW23" s="5">
        <f>Вводные!AW14</f>
        <v>0.03</v>
      </c>
      <c r="AX23" s="5">
        <f>Вводные!AX14</f>
        <v>0.03</v>
      </c>
      <c r="AY23" s="5">
        <f>Вводные!AY14</f>
        <v>0.03</v>
      </c>
      <c r="AZ23" s="5">
        <f>Вводные!AZ14</f>
        <v>0.03</v>
      </c>
      <c r="BA23" s="5">
        <f>Вводные!BA14</f>
        <v>0.03</v>
      </c>
      <c r="BB23" s="5">
        <f>Вводные!BB14</f>
        <v>0.03</v>
      </c>
      <c r="BC23" s="5">
        <f>Вводные!BC14</f>
        <v>0.03</v>
      </c>
      <c r="BD23" s="5">
        <f>Вводные!BD14</f>
        <v>0.03</v>
      </c>
      <c r="BE23" s="5">
        <f>Вводные!BE14</f>
        <v>0.03</v>
      </c>
      <c r="BF23" s="5">
        <f>Вводные!BF14</f>
        <v>0.03</v>
      </c>
      <c r="BG23" s="5">
        <f>Вводные!BG14</f>
        <v>0.03</v>
      </c>
      <c r="BH23" s="5">
        <f>Вводные!BH14</f>
        <v>0.03</v>
      </c>
      <c r="BI23" s="5">
        <f>Вводные!BI14</f>
        <v>0.03</v>
      </c>
      <c r="BJ23" s="5">
        <f>Вводные!BJ14</f>
        <v>0.03</v>
      </c>
    </row>
    <row r="24" spans="3:62" x14ac:dyDescent="0.15">
      <c r="D24" t="s">
        <v>79</v>
      </c>
      <c r="E24" s="12" t="s">
        <v>22</v>
      </c>
      <c r="I24" s="20">
        <v>1</v>
      </c>
      <c r="J24" s="36">
        <f t="shared" ref="J24:AO24" si="0">I24 / (1+J23)</f>
        <v>0.95238095238095233</v>
      </c>
      <c r="K24" s="36">
        <f t="shared" si="0"/>
        <v>0.92464170134073043</v>
      </c>
      <c r="L24" s="36">
        <f t="shared" si="0"/>
        <v>0.89771038965119454</v>
      </c>
      <c r="M24" s="36">
        <f t="shared" si="0"/>
        <v>0.8715634850982471</v>
      </c>
      <c r="N24" s="36">
        <f t="shared" si="0"/>
        <v>0.84617814087208454</v>
      </c>
      <c r="O24" s="36">
        <f t="shared" si="0"/>
        <v>0.82153217560396552</v>
      </c>
      <c r="P24" s="36">
        <f t="shared" si="0"/>
        <v>0.79760405398443257</v>
      </c>
      <c r="Q24" s="36">
        <f t="shared" si="0"/>
        <v>0.77437286794605098</v>
      </c>
      <c r="R24" s="36">
        <f t="shared" si="0"/>
        <v>0.75181831839422419</v>
      </c>
      <c r="S24" s="36">
        <f t="shared" si="0"/>
        <v>0.72992069747012056</v>
      </c>
      <c r="T24" s="36">
        <f t="shared" si="0"/>
        <v>0.70866087133021416</v>
      </c>
      <c r="U24" s="36">
        <f t="shared" si="0"/>
        <v>0.68802026342739242</v>
      </c>
      <c r="V24" s="36">
        <f t="shared" si="0"/>
        <v>0.66798083827902177</v>
      </c>
      <c r="W24" s="36">
        <f t="shared" si="0"/>
        <v>0.64852508570778811</v>
      </c>
      <c r="X24" s="36">
        <f t="shared" si="0"/>
        <v>0.62963600554154187</v>
      </c>
      <c r="Y24" s="36">
        <f t="shared" si="0"/>
        <v>0.61129709275877853</v>
      </c>
      <c r="Z24" s="36">
        <f t="shared" si="0"/>
        <v>0.59349232306677524</v>
      </c>
      <c r="AA24" s="36">
        <f t="shared" si="0"/>
        <v>0.57620613889978178</v>
      </c>
      <c r="AB24" s="36">
        <f t="shared" si="0"/>
        <v>0.55942343582503085</v>
      </c>
      <c r="AC24" s="36">
        <f t="shared" si="0"/>
        <v>0.54312954934469015</v>
      </c>
      <c r="AD24" s="36">
        <f t="shared" si="0"/>
        <v>0.52731024208222343</v>
      </c>
      <c r="AE24" s="36">
        <f t="shared" si="0"/>
        <v>0.5119516913419645</v>
      </c>
      <c r="AF24" s="36">
        <f t="shared" si="0"/>
        <v>0.49704047703103349</v>
      </c>
      <c r="AG24" s="36">
        <f t="shared" si="0"/>
        <v>0.48256356993304222</v>
      </c>
      <c r="AH24" s="36">
        <f t="shared" si="0"/>
        <v>0.46850832032334194</v>
      </c>
      <c r="AI24" s="36">
        <f t="shared" si="0"/>
        <v>0.45486244691586597</v>
      </c>
      <c r="AJ24" s="36">
        <f t="shared" si="0"/>
        <v>0.4416140261319087</v>
      </c>
      <c r="AK24" s="36">
        <f t="shared" si="0"/>
        <v>0.42875148168146476</v>
      </c>
      <c r="AL24" s="36">
        <f t="shared" si="0"/>
        <v>0.41626357444802403</v>
      </c>
      <c r="AM24" s="36">
        <f t="shared" si="0"/>
        <v>0.40413939266798449</v>
      </c>
      <c r="AN24" s="36">
        <f t="shared" si="0"/>
        <v>0.39236834239610141</v>
      </c>
      <c r="AO24" s="36">
        <f t="shared" si="0"/>
        <v>0.38094013824864215</v>
      </c>
      <c r="AP24" s="36">
        <f t="shared" ref="AP24:BJ24" si="1">AO24 / (1+AP23)</f>
        <v>0.36984479441615742</v>
      </c>
      <c r="AQ24" s="36">
        <f t="shared" si="1"/>
        <v>0.35907261593801693</v>
      </c>
      <c r="AR24" s="36">
        <f t="shared" si="1"/>
        <v>0.34861419023108436</v>
      </c>
      <c r="AS24" s="36">
        <f t="shared" si="1"/>
        <v>0.33846037886513042</v>
      </c>
      <c r="AT24" s="36">
        <f t="shared" si="1"/>
        <v>0.32860230957779651</v>
      </c>
      <c r="AU24" s="36">
        <f t="shared" si="1"/>
        <v>0.31903136852213254</v>
      </c>
      <c r="AV24" s="36">
        <f t="shared" si="1"/>
        <v>0.3097391927399345</v>
      </c>
      <c r="AW24" s="36">
        <f t="shared" si="1"/>
        <v>0.30071766285430535</v>
      </c>
      <c r="AX24" s="36">
        <f t="shared" si="1"/>
        <v>0.2919588959750537</v>
      </c>
      <c r="AY24" s="36">
        <f t="shared" si="1"/>
        <v>0.28345523881073176</v>
      </c>
      <c r="AZ24" s="36">
        <f t="shared" si="1"/>
        <v>0.27519926098129294</v>
      </c>
      <c r="BA24" s="36">
        <f t="shared" si="1"/>
        <v>0.26718374852552712</v>
      </c>
      <c r="BB24" s="36">
        <f t="shared" si="1"/>
        <v>0.25940169759759912</v>
      </c>
      <c r="BC24" s="36">
        <f t="shared" si="1"/>
        <v>0.25184630834718363</v>
      </c>
      <c r="BD24" s="36">
        <f t="shared" si="1"/>
        <v>0.24451097897784818</v>
      </c>
      <c r="BE24" s="36">
        <f t="shared" si="1"/>
        <v>0.23738929997849337</v>
      </c>
      <c r="BF24" s="36">
        <f t="shared" si="1"/>
        <v>0.23047504852280909</v>
      </c>
      <c r="BG24" s="36">
        <f t="shared" si="1"/>
        <v>0.22376218303185347</v>
      </c>
      <c r="BH24" s="36">
        <f t="shared" si="1"/>
        <v>0.21724483789500337</v>
      </c>
      <c r="BI24" s="36">
        <f t="shared" si="1"/>
        <v>0.21091731834466346</v>
      </c>
      <c r="BJ24" s="36">
        <f t="shared" si="1"/>
        <v>0.20477409548025577</v>
      </c>
    </row>
    <row r="26" spans="3:62" x14ac:dyDescent="0.15">
      <c r="C26" s="2">
        <f>MAX( $B$7:C25 ) + 0.1</f>
        <v>1.2000000000000002</v>
      </c>
      <c r="D26" s="2" t="s">
        <v>80</v>
      </c>
      <c r="E26" s="1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</row>
    <row r="28" spans="3:62" x14ac:dyDescent="0.15">
      <c r="D28" s="8" t="s">
        <v>70</v>
      </c>
      <c r="E28" s="15" t="s">
        <v>69</v>
      </c>
      <c r="F28" s="37">
        <f t="shared" ref="F28:F34" si="2">F12</f>
        <v>50</v>
      </c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</row>
    <row r="29" spans="3:62" x14ac:dyDescent="0.15">
      <c r="D29" t="s">
        <v>71</v>
      </c>
      <c r="E29" s="12" t="s">
        <v>69</v>
      </c>
      <c r="F29" s="3">
        <f t="shared" ca="1" si="2"/>
        <v>33</v>
      </c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</row>
    <row r="30" spans="3:62" x14ac:dyDescent="0.15">
      <c r="D30" s="8" t="s">
        <v>67</v>
      </c>
      <c r="E30" s="15" t="s">
        <v>23</v>
      </c>
      <c r="F30" s="38">
        <f t="shared" ca="1" si="2"/>
        <v>2043</v>
      </c>
      <c r="I30" t="s">
        <v>35</v>
      </c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</row>
    <row r="31" spans="3:62" x14ac:dyDescent="0.15">
      <c r="D31" s="8" t="s">
        <v>73</v>
      </c>
      <c r="E31" s="15" t="s">
        <v>124</v>
      </c>
      <c r="F31" s="37">
        <f t="shared" ca="1" si="2"/>
        <v>2614402.1783642969</v>
      </c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</row>
    <row r="32" spans="3:62" x14ac:dyDescent="0.15">
      <c r="D32" t="s">
        <v>74</v>
      </c>
      <c r="E32" s="12" t="s">
        <v>4</v>
      </c>
      <c r="F32" s="5">
        <f t="shared" si="2"/>
        <v>0.06</v>
      </c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</row>
    <row r="33" spans="4:62" x14ac:dyDescent="0.15">
      <c r="D33" t="s">
        <v>75</v>
      </c>
      <c r="E33" s="12" t="s">
        <v>4</v>
      </c>
      <c r="F33" s="5">
        <f t="shared" ca="1" si="2"/>
        <v>3.1000000000000017E-2</v>
      </c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</row>
    <row r="34" spans="4:62" x14ac:dyDescent="0.15">
      <c r="D34" t="s">
        <v>76</v>
      </c>
      <c r="E34" s="12" t="s">
        <v>4</v>
      </c>
      <c r="F34" s="5">
        <f t="shared" ca="1" si="2"/>
        <v>2.8128031037827572E-2</v>
      </c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</row>
    <row r="35" spans="4:62" x14ac:dyDescent="0.15">
      <c r="D35" s="8" t="s">
        <v>83</v>
      </c>
      <c r="E35" s="15" t="s">
        <v>110</v>
      </c>
      <c r="F35" s="37">
        <f>Вводные!F258 * Вводные!F12</f>
        <v>-120000</v>
      </c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</row>
    <row r="36" spans="4:62" x14ac:dyDescent="0.15">
      <c r="D36" t="s">
        <v>84</v>
      </c>
      <c r="E36" s="12" t="s">
        <v>110</v>
      </c>
      <c r="F36" s="3">
        <f ca="1">F35/INDEX(J24:BJ24,1,MATCH(F30,J3:BJ3,0))</f>
        <v>-220941.76268771477</v>
      </c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</row>
    <row r="37" spans="4:62" x14ac:dyDescent="0.15">
      <c r="D37" s="8" t="s">
        <v>87</v>
      </c>
      <c r="E37" s="15" t="s">
        <v>23</v>
      </c>
      <c r="F37" s="37">
        <f ca="1">COUNTIF(J45:BJ45, "&gt;=0")</f>
        <v>13</v>
      </c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</row>
    <row r="38" spans="4:62" x14ac:dyDescent="0.15">
      <c r="D38" s="8" t="s">
        <v>86</v>
      </c>
      <c r="E38" s="15" t="s">
        <v>69</v>
      </c>
      <c r="F38" s="37">
        <f ca="1">SUM(F28,F37)</f>
        <v>63</v>
      </c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</row>
    <row r="39" spans="4:62" x14ac:dyDescent="0.15">
      <c r="E39" s="12"/>
      <c r="J39" s="40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</row>
    <row r="40" spans="4:62" x14ac:dyDescent="0.15">
      <c r="D40" s="8" t="s">
        <v>61</v>
      </c>
      <c r="E40" s="8"/>
      <c r="F40" s="8"/>
      <c r="G40" s="8"/>
      <c r="H40" s="8"/>
      <c r="I40" s="39">
        <f ca="1">F14</f>
        <v>2043</v>
      </c>
      <c r="J40" s="38">
        <f ca="1">I40+1</f>
        <v>2044</v>
      </c>
      <c r="K40" s="38">
        <f t="shared" ref="K40:BJ40" ca="1" si="3">J40+1</f>
        <v>2045</v>
      </c>
      <c r="L40" s="38">
        <f t="shared" ca="1" si="3"/>
        <v>2046</v>
      </c>
      <c r="M40" s="38">
        <f t="shared" ca="1" si="3"/>
        <v>2047</v>
      </c>
      <c r="N40" s="38">
        <f t="shared" ca="1" si="3"/>
        <v>2048</v>
      </c>
      <c r="O40" s="38">
        <f t="shared" ca="1" si="3"/>
        <v>2049</v>
      </c>
      <c r="P40" s="38">
        <f t="shared" ca="1" si="3"/>
        <v>2050</v>
      </c>
      <c r="Q40" s="38">
        <f t="shared" ca="1" si="3"/>
        <v>2051</v>
      </c>
      <c r="R40" s="38">
        <f t="shared" ca="1" si="3"/>
        <v>2052</v>
      </c>
      <c r="S40" s="38">
        <f t="shared" ca="1" si="3"/>
        <v>2053</v>
      </c>
      <c r="T40" s="38">
        <f t="shared" ca="1" si="3"/>
        <v>2054</v>
      </c>
      <c r="U40" s="38">
        <f t="shared" ca="1" si="3"/>
        <v>2055</v>
      </c>
      <c r="V40" s="38">
        <f t="shared" ca="1" si="3"/>
        <v>2056</v>
      </c>
      <c r="W40" s="38">
        <f t="shared" ca="1" si="3"/>
        <v>2057</v>
      </c>
      <c r="X40" s="38">
        <f t="shared" ca="1" si="3"/>
        <v>2058</v>
      </c>
      <c r="Y40" s="38">
        <f t="shared" ca="1" si="3"/>
        <v>2059</v>
      </c>
      <c r="Z40" s="38">
        <f t="shared" ca="1" si="3"/>
        <v>2060</v>
      </c>
      <c r="AA40" s="38">
        <f t="shared" ca="1" si="3"/>
        <v>2061</v>
      </c>
      <c r="AB40" s="38">
        <f t="shared" ca="1" si="3"/>
        <v>2062</v>
      </c>
      <c r="AC40" s="38">
        <f t="shared" ca="1" si="3"/>
        <v>2063</v>
      </c>
      <c r="AD40" s="38">
        <f t="shared" ca="1" si="3"/>
        <v>2064</v>
      </c>
      <c r="AE40" s="38">
        <f t="shared" ca="1" si="3"/>
        <v>2065</v>
      </c>
      <c r="AF40" s="38">
        <f t="shared" ca="1" si="3"/>
        <v>2066</v>
      </c>
      <c r="AG40" s="38">
        <f t="shared" ca="1" si="3"/>
        <v>2067</v>
      </c>
      <c r="AH40" s="38">
        <f t="shared" ca="1" si="3"/>
        <v>2068</v>
      </c>
      <c r="AI40" s="38">
        <f t="shared" ca="1" si="3"/>
        <v>2069</v>
      </c>
      <c r="AJ40" s="38">
        <f t="shared" ca="1" si="3"/>
        <v>2070</v>
      </c>
      <c r="AK40" s="38">
        <f t="shared" ca="1" si="3"/>
        <v>2071</v>
      </c>
      <c r="AL40" s="38">
        <f t="shared" ca="1" si="3"/>
        <v>2072</v>
      </c>
      <c r="AM40" s="38">
        <f t="shared" ca="1" si="3"/>
        <v>2073</v>
      </c>
      <c r="AN40" s="38">
        <f t="shared" ca="1" si="3"/>
        <v>2074</v>
      </c>
      <c r="AO40" s="38">
        <f t="shared" ca="1" si="3"/>
        <v>2075</v>
      </c>
      <c r="AP40" s="38">
        <f t="shared" ca="1" si="3"/>
        <v>2076</v>
      </c>
      <c r="AQ40" s="38">
        <f t="shared" ca="1" si="3"/>
        <v>2077</v>
      </c>
      <c r="AR40" s="38">
        <f t="shared" ca="1" si="3"/>
        <v>2078</v>
      </c>
      <c r="AS40" s="38">
        <f t="shared" ca="1" si="3"/>
        <v>2079</v>
      </c>
      <c r="AT40" s="38">
        <f t="shared" ca="1" si="3"/>
        <v>2080</v>
      </c>
      <c r="AU40" s="38">
        <f t="shared" ca="1" si="3"/>
        <v>2081</v>
      </c>
      <c r="AV40" s="38">
        <f t="shared" ca="1" si="3"/>
        <v>2082</v>
      </c>
      <c r="AW40" s="38">
        <f t="shared" ca="1" si="3"/>
        <v>2083</v>
      </c>
      <c r="AX40" s="38">
        <f t="shared" ca="1" si="3"/>
        <v>2084</v>
      </c>
      <c r="AY40" s="38">
        <f t="shared" ca="1" si="3"/>
        <v>2085</v>
      </c>
      <c r="AZ40" s="38">
        <f t="shared" ca="1" si="3"/>
        <v>2086</v>
      </c>
      <c r="BA40" s="38">
        <f t="shared" ca="1" si="3"/>
        <v>2087</v>
      </c>
      <c r="BB40" s="38">
        <f t="shared" ca="1" si="3"/>
        <v>2088</v>
      </c>
      <c r="BC40" s="38">
        <f t="shared" ca="1" si="3"/>
        <v>2089</v>
      </c>
      <c r="BD40" s="38">
        <f t="shared" ca="1" si="3"/>
        <v>2090</v>
      </c>
      <c r="BE40" s="38">
        <f t="shared" ca="1" si="3"/>
        <v>2091</v>
      </c>
      <c r="BF40" s="38">
        <f t="shared" ca="1" si="3"/>
        <v>2092</v>
      </c>
      <c r="BG40" s="38">
        <f t="shared" ca="1" si="3"/>
        <v>2093</v>
      </c>
      <c r="BH40" s="38">
        <f t="shared" ca="1" si="3"/>
        <v>2094</v>
      </c>
      <c r="BI40" s="38">
        <f t="shared" ca="1" si="3"/>
        <v>2095</v>
      </c>
      <c r="BJ40" s="38">
        <f t="shared" ca="1" si="3"/>
        <v>2096</v>
      </c>
    </row>
    <row r="41" spans="4:62" x14ac:dyDescent="0.15">
      <c r="D41" t="s">
        <v>82</v>
      </c>
      <c r="J41" s="3">
        <f ca="1">I45</f>
        <v>2614402.1783642969</v>
      </c>
      <c r="K41" s="3">
        <f t="shared" ref="K41:BJ41" ca="1" si="4">J45</f>
        <v>2529807.8942952589</v>
      </c>
      <c r="L41" s="3">
        <f t="shared" ca="1" si="4"/>
        <v>2432652.7423241809</v>
      </c>
      <c r="M41" s="3">
        <f t="shared" ca="1" si="4"/>
        <v>2321951.0288403458</v>
      </c>
      <c r="N41" s="3">
        <f t="shared" ca="1" si="4"/>
        <v>2196650.7253287584</v>
      </c>
      <c r="O41" s="3">
        <f t="shared" ca="1" si="4"/>
        <v>2055629.2652839737</v>
      </c>
      <c r="P41" s="3">
        <f t="shared" ca="1" si="4"/>
        <v>1897689.082026002</v>
      </c>
      <c r="Q41" s="3">
        <f t="shared" ca="1" si="4"/>
        <v>1721552.8716581268</v>
      </c>
      <c r="R41" s="3">
        <f t="shared" ca="1" si="4"/>
        <v>1525858.5644542067</v>
      </c>
      <c r="S41" s="3">
        <f t="shared" ca="1" si="4"/>
        <v>1309153.9869534455</v>
      </c>
      <c r="T41" s="3">
        <f t="shared" ca="1" si="4"/>
        <v>1069891.1959702303</v>
      </c>
      <c r="U41" s="3">
        <f t="shared" ca="1" si="4"/>
        <v>806420.4645918092</v>
      </c>
      <c r="V41" s="3">
        <f t="shared" ca="1" si="4"/>
        <v>516983.89903344715</v>
      </c>
      <c r="W41" s="3">
        <f t="shared" ca="1" si="4"/>
        <v>199708.66394513339</v>
      </c>
      <c r="X41" s="3">
        <f t="shared" ca="1" si="4"/>
        <v>-147400.20758841909</v>
      </c>
      <c r="Y41" s="3">
        <f t="shared" ca="1" si="4"/>
        <v>-526467.44454646274</v>
      </c>
      <c r="Z41" s="3">
        <f t="shared" ca="1" si="4"/>
        <v>-939755.63568157388</v>
      </c>
      <c r="AA41" s="3">
        <f t="shared" ca="1" si="4"/>
        <v>-1389673.8227631238</v>
      </c>
      <c r="AB41" s="3">
        <f t="shared" ca="1" si="4"/>
        <v>-1878786.619386727</v>
      </c>
      <c r="AC41" s="3">
        <f t="shared" ca="1" si="4"/>
        <v>-2409823.8871927387</v>
      </c>
      <c r="AD41" s="3">
        <f t="shared" ca="1" si="4"/>
        <v>-2985691.0032570381</v>
      </c>
      <c r="AE41" s="3">
        <f t="shared" ca="1" si="4"/>
        <v>-3609479.7544530099</v>
      </c>
      <c r="AF41" s="3">
        <f t="shared" ca="1" si="4"/>
        <v>-4284479.8967417572</v>
      </c>
      <c r="AG41" s="3">
        <f t="shared" ca="1" si="4"/>
        <v>-5014191.419635498</v>
      </c>
      <c r="AH41" s="3">
        <f t="shared" ca="1" si="4"/>
        <v>-5802337.5585046299</v>
      </c>
      <c r="AI41" s="3">
        <f t="shared" ca="1" si="4"/>
        <v>-6652878.5999703305</v>
      </c>
      <c r="AJ41" s="3">
        <f t="shared" ca="1" si="4"/>
        <v>-7570026.5283505907</v>
      </c>
      <c r="AK41" s="3">
        <f t="shared" ca="1" si="4"/>
        <v>-8558260.56401751</v>
      </c>
      <c r="AL41" s="3">
        <f t="shared" ca="1" si="4"/>
        <v>-9622343.6475873869</v>
      </c>
      <c r="AM41" s="3">
        <f t="shared" ca="1" si="4"/>
        <v>-10767339.927113051</v>
      </c>
      <c r="AN41" s="3">
        <f t="shared" ca="1" si="4"/>
        <v>-11998633.308891037</v>
      </c>
      <c r="AO41" s="3">
        <f t="shared" ca="1" si="4"/>
        <v>-13321947.136146389</v>
      </c>
      <c r="AP41" s="3">
        <f t="shared" ca="1" si="4"/>
        <v>-14743365.063727442</v>
      </c>
      <c r="AQ41" s="3">
        <f t="shared" ca="1" si="4"/>
        <v>-16269353.201045139</v>
      </c>
      <c r="AR41" s="3">
        <f t="shared" ca="1" si="4"/>
        <v>-17906783.599840213</v>
      </c>
      <c r="AS41" s="3">
        <f t="shared" ca="1" si="4"/>
        <v>-19662959.167971697</v>
      </c>
      <c r="AT41" s="3">
        <f t="shared" ca="1" si="4"/>
        <v>-21545640.09530744</v>
      </c>
      <c r="AU41" s="3">
        <f t="shared" ca="1" si="4"/>
        <v>-23563071.882978309</v>
      </c>
      <c r="AV41" s="3">
        <f t="shared" ca="1" si="4"/>
        <v>-25724015.072749954</v>
      </c>
      <c r="AW41" s="3">
        <f t="shared" ca="1" si="4"/>
        <v>-28037776.779088479</v>
      </c>
      <c r="AX41" s="3">
        <f t="shared" ca="1" si="4"/>
        <v>-30514244.132668495</v>
      </c>
      <c r="AY41" s="3">
        <f t="shared" ca="1" si="4"/>
        <v>-33163919.750615191</v>
      </c>
      <c r="AZ41" s="3">
        <f t="shared" ca="1" si="4"/>
        <v>-35997959.355708271</v>
      </c>
      <c r="BA41" s="3">
        <f t="shared" ca="1" si="4"/>
        <v>-39028211.674128681</v>
      </c>
      <c r="BB41" s="3">
        <f t="shared" ca="1" si="4"/>
        <v>-42267260.74912373</v>
      </c>
      <c r="BC41" s="3">
        <f t="shared" ca="1" si="4"/>
        <v>-45728470.816229448</v>
      </c>
      <c r="BD41" s="3">
        <f t="shared" ca="1" si="4"/>
        <v>-49426033.894448414</v>
      </c>
      <c r="BE41" s="3">
        <f t="shared" ca="1" si="4"/>
        <v>-53375020.257067114</v>
      </c>
      <c r="BF41" s="3">
        <f t="shared" ca="1" si="4"/>
        <v>-57591431.95564045</v>
      </c>
      <c r="BG41" s="3">
        <f t="shared" ca="1" si="4"/>
        <v>-62092259.581105806</v>
      </c>
      <c r="BH41" s="3">
        <f t="shared" ca="1" si="4"/>
        <v>-66895542.457051024</v>
      </c>
      <c r="BI41" s="3">
        <f t="shared" ca="1" si="4"/>
        <v>-72020432.471886411</v>
      </c>
      <c r="BJ41" s="3">
        <f t="shared" ca="1" si="4"/>
        <v>-77487261.769101694</v>
      </c>
    </row>
    <row r="42" spans="4:62" x14ac:dyDescent="0.15">
      <c r="D42" t="s">
        <v>12</v>
      </c>
      <c r="I42" s="22">
        <f ca="1">F36</f>
        <v>-220941.76268771477</v>
      </c>
      <c r="J42" s="3">
        <f ca="1">I42 * (1 + J43)</f>
        <v>-227790.95733103392</v>
      </c>
      <c r="K42" s="3">
        <f t="shared" ref="K42:BJ42" ca="1" si="5">J42 * (1 + K43)</f>
        <v>-234852.47700829594</v>
      </c>
      <c r="L42" s="3">
        <f t="shared" ca="1" si="5"/>
        <v>-242132.90379555311</v>
      </c>
      <c r="M42" s="3">
        <f t="shared" ca="1" si="5"/>
        <v>-249639.02381321523</v>
      </c>
      <c r="N42" s="3">
        <f t="shared" ca="1" si="5"/>
        <v>-257377.83355142488</v>
      </c>
      <c r="O42" s="3">
        <f t="shared" ca="1" si="5"/>
        <v>-265356.54639151902</v>
      </c>
      <c r="P42" s="3">
        <f t="shared" ca="1" si="5"/>
        <v>-273582.59932965611</v>
      </c>
      <c r="Q42" s="3">
        <f t="shared" ca="1" si="5"/>
        <v>-282063.65990887542</v>
      </c>
      <c r="R42" s="3">
        <f t="shared" ca="1" si="5"/>
        <v>-290807.63336605055</v>
      </c>
      <c r="S42" s="3">
        <f t="shared" ca="1" si="5"/>
        <v>-299822.67000039807</v>
      </c>
      <c r="T42" s="3">
        <f t="shared" ca="1" si="5"/>
        <v>-309117.17277041037</v>
      </c>
      <c r="U42" s="3">
        <f t="shared" ca="1" si="5"/>
        <v>-318699.80512629304</v>
      </c>
      <c r="V42" s="3">
        <f t="shared" ca="1" si="5"/>
        <v>-328579.49908520811</v>
      </c>
      <c r="W42" s="3">
        <f t="shared" ca="1" si="5"/>
        <v>-338765.46355684951</v>
      </c>
      <c r="X42" s="3">
        <f t="shared" ca="1" si="5"/>
        <v>-349267.19292711181</v>
      </c>
      <c r="Y42" s="3">
        <f t="shared" ca="1" si="5"/>
        <v>-360094.47590785223</v>
      </c>
      <c r="Z42" s="3">
        <f t="shared" ca="1" si="5"/>
        <v>-371257.40466099564</v>
      </c>
      <c r="AA42" s="3">
        <f t="shared" ca="1" si="5"/>
        <v>-382766.38420548645</v>
      </c>
      <c r="AB42" s="3">
        <f t="shared" ca="1" si="5"/>
        <v>-394632.14211585652</v>
      </c>
      <c r="AC42" s="3">
        <f t="shared" ca="1" si="5"/>
        <v>-406865.73852144805</v>
      </c>
      <c r="AD42" s="3">
        <f t="shared" ca="1" si="5"/>
        <v>-419478.57641561289</v>
      </c>
      <c r="AE42" s="3">
        <f t="shared" ca="1" si="5"/>
        <v>-432482.41228449682</v>
      </c>
      <c r="AF42" s="3">
        <f t="shared" ca="1" si="5"/>
        <v>-445889.36706531618</v>
      </c>
      <c r="AG42" s="3">
        <f t="shared" ca="1" si="5"/>
        <v>-459711.93744434096</v>
      </c>
      <c r="AH42" s="3">
        <f t="shared" ca="1" si="5"/>
        <v>-473963.00750511547</v>
      </c>
      <c r="AI42" s="3">
        <f t="shared" ca="1" si="5"/>
        <v>-488655.860737774</v>
      </c>
      <c r="AJ42" s="3">
        <f t="shared" ca="1" si="5"/>
        <v>-503804.19242064498</v>
      </c>
      <c r="AK42" s="3">
        <f t="shared" ca="1" si="5"/>
        <v>-519422.12238568492</v>
      </c>
      <c r="AL42" s="3">
        <f t="shared" ca="1" si="5"/>
        <v>-535524.20817964117</v>
      </c>
      <c r="AM42" s="3">
        <f t="shared" ca="1" si="5"/>
        <v>-552125.45863321004</v>
      </c>
      <c r="AN42" s="3">
        <f t="shared" ca="1" si="5"/>
        <v>-569241.34785083949</v>
      </c>
      <c r="AO42" s="3">
        <f t="shared" ca="1" si="5"/>
        <v>-586887.82963421545</v>
      </c>
      <c r="AP42" s="3">
        <f t="shared" ca="1" si="5"/>
        <v>-605081.3523528761</v>
      </c>
      <c r="AQ42" s="3">
        <f t="shared" ca="1" si="5"/>
        <v>-623838.87427581521</v>
      </c>
      <c r="AR42" s="3">
        <f t="shared" ca="1" si="5"/>
        <v>-643177.87937836547</v>
      </c>
      <c r="AS42" s="3">
        <f t="shared" ca="1" si="5"/>
        <v>-663116.39363909478</v>
      </c>
      <c r="AT42" s="3">
        <f t="shared" ca="1" si="5"/>
        <v>-683673.00184190669</v>
      </c>
      <c r="AU42" s="3">
        <f t="shared" ca="1" si="5"/>
        <v>-704866.86489900574</v>
      </c>
      <c r="AV42" s="3">
        <f t="shared" ca="1" si="5"/>
        <v>-726717.73771087488</v>
      </c>
      <c r="AW42" s="3">
        <f t="shared" ca="1" si="5"/>
        <v>-749245.98757991195</v>
      </c>
      <c r="AX42" s="3">
        <f t="shared" ca="1" si="5"/>
        <v>-772472.61319488916</v>
      </c>
      <c r="AY42" s="3">
        <f t="shared" ca="1" si="5"/>
        <v>-796419.26420393062</v>
      </c>
      <c r="AZ42" s="3">
        <f t="shared" ca="1" si="5"/>
        <v>-821108.26139425242</v>
      </c>
      <c r="BA42" s="3">
        <f t="shared" ca="1" si="5"/>
        <v>-846562.61749747419</v>
      </c>
      <c r="BB42" s="3">
        <f t="shared" ca="1" si="5"/>
        <v>-872806.05863989587</v>
      </c>
      <c r="BC42" s="3">
        <f t="shared" ca="1" si="5"/>
        <v>-899863.04645773256</v>
      </c>
      <c r="BD42" s="3">
        <f t="shared" ca="1" si="5"/>
        <v>-927758.80089792225</v>
      </c>
      <c r="BE42" s="3">
        <f t="shared" ca="1" si="5"/>
        <v>-956519.32372575777</v>
      </c>
      <c r="BF42" s="3">
        <f t="shared" ca="1" si="5"/>
        <v>-986171.42276125622</v>
      </c>
      <c r="BG42" s="3">
        <f t="shared" ca="1" si="5"/>
        <v>-1016742.7368668551</v>
      </c>
      <c r="BH42" s="3">
        <f t="shared" ca="1" si="5"/>
        <v>-1048261.7617097275</v>
      </c>
      <c r="BI42" s="3">
        <f t="shared" ca="1" si="5"/>
        <v>-1080757.8763227288</v>
      </c>
      <c r="BJ42" s="3">
        <f t="shared" ca="1" si="5"/>
        <v>-1114261.3704887333</v>
      </c>
    </row>
    <row r="43" spans="4:62" x14ac:dyDescent="0.15">
      <c r="D43" t="s">
        <v>75</v>
      </c>
      <c r="I43" s="21">
        <f ca="1">F33</f>
        <v>3.1000000000000017E-2</v>
      </c>
      <c r="J43" s="5">
        <f t="shared" ref="J43:AO43" ca="1" si="6">$I$43</f>
        <v>3.1000000000000017E-2</v>
      </c>
      <c r="K43" s="5">
        <f t="shared" ca="1" si="6"/>
        <v>3.1000000000000017E-2</v>
      </c>
      <c r="L43" s="5">
        <f t="shared" ca="1" si="6"/>
        <v>3.1000000000000017E-2</v>
      </c>
      <c r="M43" s="5">
        <f t="shared" ca="1" si="6"/>
        <v>3.1000000000000017E-2</v>
      </c>
      <c r="N43" s="5">
        <f t="shared" ca="1" si="6"/>
        <v>3.1000000000000017E-2</v>
      </c>
      <c r="O43" s="5">
        <f t="shared" ca="1" si="6"/>
        <v>3.1000000000000017E-2</v>
      </c>
      <c r="P43" s="5">
        <f t="shared" ca="1" si="6"/>
        <v>3.1000000000000017E-2</v>
      </c>
      <c r="Q43" s="5">
        <f t="shared" ca="1" si="6"/>
        <v>3.1000000000000017E-2</v>
      </c>
      <c r="R43" s="5">
        <f t="shared" ca="1" si="6"/>
        <v>3.1000000000000017E-2</v>
      </c>
      <c r="S43" s="5">
        <f t="shared" ca="1" si="6"/>
        <v>3.1000000000000017E-2</v>
      </c>
      <c r="T43" s="5">
        <f t="shared" ca="1" si="6"/>
        <v>3.1000000000000017E-2</v>
      </c>
      <c r="U43" s="5">
        <f t="shared" ca="1" si="6"/>
        <v>3.1000000000000017E-2</v>
      </c>
      <c r="V43" s="5">
        <f t="shared" ca="1" si="6"/>
        <v>3.1000000000000017E-2</v>
      </c>
      <c r="W43" s="5">
        <f t="shared" ca="1" si="6"/>
        <v>3.1000000000000017E-2</v>
      </c>
      <c r="X43" s="5">
        <f t="shared" ca="1" si="6"/>
        <v>3.1000000000000017E-2</v>
      </c>
      <c r="Y43" s="5">
        <f t="shared" ca="1" si="6"/>
        <v>3.1000000000000017E-2</v>
      </c>
      <c r="Z43" s="5">
        <f t="shared" ca="1" si="6"/>
        <v>3.1000000000000017E-2</v>
      </c>
      <c r="AA43" s="5">
        <f t="shared" ca="1" si="6"/>
        <v>3.1000000000000017E-2</v>
      </c>
      <c r="AB43" s="5">
        <f t="shared" ca="1" si="6"/>
        <v>3.1000000000000017E-2</v>
      </c>
      <c r="AC43" s="5">
        <f t="shared" ca="1" si="6"/>
        <v>3.1000000000000017E-2</v>
      </c>
      <c r="AD43" s="5">
        <f t="shared" ca="1" si="6"/>
        <v>3.1000000000000017E-2</v>
      </c>
      <c r="AE43" s="5">
        <f t="shared" ca="1" si="6"/>
        <v>3.1000000000000017E-2</v>
      </c>
      <c r="AF43" s="5">
        <f t="shared" ca="1" si="6"/>
        <v>3.1000000000000017E-2</v>
      </c>
      <c r="AG43" s="5">
        <f t="shared" ca="1" si="6"/>
        <v>3.1000000000000017E-2</v>
      </c>
      <c r="AH43" s="5">
        <f t="shared" ca="1" si="6"/>
        <v>3.1000000000000017E-2</v>
      </c>
      <c r="AI43" s="5">
        <f t="shared" ca="1" si="6"/>
        <v>3.1000000000000017E-2</v>
      </c>
      <c r="AJ43" s="5">
        <f t="shared" ca="1" si="6"/>
        <v>3.1000000000000017E-2</v>
      </c>
      <c r="AK43" s="5">
        <f t="shared" ca="1" si="6"/>
        <v>3.1000000000000017E-2</v>
      </c>
      <c r="AL43" s="5">
        <f t="shared" ca="1" si="6"/>
        <v>3.1000000000000017E-2</v>
      </c>
      <c r="AM43" s="5">
        <f t="shared" ca="1" si="6"/>
        <v>3.1000000000000017E-2</v>
      </c>
      <c r="AN43" s="5">
        <f t="shared" ca="1" si="6"/>
        <v>3.1000000000000017E-2</v>
      </c>
      <c r="AO43" s="5">
        <f t="shared" ca="1" si="6"/>
        <v>3.1000000000000017E-2</v>
      </c>
      <c r="AP43" s="5">
        <f t="shared" ref="AP43:BJ43" ca="1" si="7">$I$43</f>
        <v>3.1000000000000017E-2</v>
      </c>
      <c r="AQ43" s="5">
        <f t="shared" ca="1" si="7"/>
        <v>3.1000000000000017E-2</v>
      </c>
      <c r="AR43" s="5">
        <f t="shared" ca="1" si="7"/>
        <v>3.1000000000000017E-2</v>
      </c>
      <c r="AS43" s="5">
        <f t="shared" ca="1" si="7"/>
        <v>3.1000000000000017E-2</v>
      </c>
      <c r="AT43" s="5">
        <f t="shared" ca="1" si="7"/>
        <v>3.1000000000000017E-2</v>
      </c>
      <c r="AU43" s="5">
        <f t="shared" ca="1" si="7"/>
        <v>3.1000000000000017E-2</v>
      </c>
      <c r="AV43" s="5">
        <f t="shared" ca="1" si="7"/>
        <v>3.1000000000000017E-2</v>
      </c>
      <c r="AW43" s="5">
        <f t="shared" ca="1" si="7"/>
        <v>3.1000000000000017E-2</v>
      </c>
      <c r="AX43" s="5">
        <f t="shared" ca="1" si="7"/>
        <v>3.1000000000000017E-2</v>
      </c>
      <c r="AY43" s="5">
        <f t="shared" ca="1" si="7"/>
        <v>3.1000000000000017E-2</v>
      </c>
      <c r="AZ43" s="5">
        <f t="shared" ca="1" si="7"/>
        <v>3.1000000000000017E-2</v>
      </c>
      <c r="BA43" s="5">
        <f t="shared" ca="1" si="7"/>
        <v>3.1000000000000017E-2</v>
      </c>
      <c r="BB43" s="5">
        <f t="shared" ca="1" si="7"/>
        <v>3.1000000000000017E-2</v>
      </c>
      <c r="BC43" s="5">
        <f t="shared" ca="1" si="7"/>
        <v>3.1000000000000017E-2</v>
      </c>
      <c r="BD43" s="5">
        <f t="shared" ca="1" si="7"/>
        <v>3.1000000000000017E-2</v>
      </c>
      <c r="BE43" s="5">
        <f t="shared" ca="1" si="7"/>
        <v>3.1000000000000017E-2</v>
      </c>
      <c r="BF43" s="5">
        <f t="shared" ca="1" si="7"/>
        <v>3.1000000000000017E-2</v>
      </c>
      <c r="BG43" s="5">
        <f t="shared" ca="1" si="7"/>
        <v>3.1000000000000017E-2</v>
      </c>
      <c r="BH43" s="5">
        <f t="shared" ca="1" si="7"/>
        <v>3.1000000000000017E-2</v>
      </c>
      <c r="BI43" s="5">
        <f t="shared" ca="1" si="7"/>
        <v>3.1000000000000017E-2</v>
      </c>
      <c r="BJ43" s="5">
        <f t="shared" ca="1" si="7"/>
        <v>3.1000000000000017E-2</v>
      </c>
    </row>
    <row r="44" spans="4:62" x14ac:dyDescent="0.15">
      <c r="D44" t="s">
        <v>74</v>
      </c>
      <c r="I44" s="21">
        <f>F32</f>
        <v>0.06</v>
      </c>
      <c r="J44" s="5">
        <f t="shared" ref="J44:AO44" si="8">$I$44</f>
        <v>0.06</v>
      </c>
      <c r="K44" s="5">
        <f t="shared" si="8"/>
        <v>0.06</v>
      </c>
      <c r="L44" s="5">
        <f t="shared" si="8"/>
        <v>0.06</v>
      </c>
      <c r="M44" s="5">
        <f t="shared" si="8"/>
        <v>0.06</v>
      </c>
      <c r="N44" s="5">
        <f t="shared" si="8"/>
        <v>0.06</v>
      </c>
      <c r="O44" s="5">
        <f t="shared" si="8"/>
        <v>0.06</v>
      </c>
      <c r="P44" s="5">
        <f t="shared" si="8"/>
        <v>0.06</v>
      </c>
      <c r="Q44" s="5">
        <f t="shared" si="8"/>
        <v>0.06</v>
      </c>
      <c r="R44" s="5">
        <f t="shared" si="8"/>
        <v>0.06</v>
      </c>
      <c r="S44" s="5">
        <f t="shared" si="8"/>
        <v>0.06</v>
      </c>
      <c r="T44" s="5">
        <f t="shared" si="8"/>
        <v>0.06</v>
      </c>
      <c r="U44" s="5">
        <f t="shared" si="8"/>
        <v>0.06</v>
      </c>
      <c r="V44" s="5">
        <f t="shared" si="8"/>
        <v>0.06</v>
      </c>
      <c r="W44" s="5">
        <f t="shared" si="8"/>
        <v>0.06</v>
      </c>
      <c r="X44" s="5">
        <f t="shared" si="8"/>
        <v>0.06</v>
      </c>
      <c r="Y44" s="5">
        <f t="shared" si="8"/>
        <v>0.06</v>
      </c>
      <c r="Z44" s="5">
        <f t="shared" si="8"/>
        <v>0.06</v>
      </c>
      <c r="AA44" s="5">
        <f t="shared" si="8"/>
        <v>0.06</v>
      </c>
      <c r="AB44" s="5">
        <f t="shared" si="8"/>
        <v>0.06</v>
      </c>
      <c r="AC44" s="5">
        <f t="shared" si="8"/>
        <v>0.06</v>
      </c>
      <c r="AD44" s="5">
        <f t="shared" si="8"/>
        <v>0.06</v>
      </c>
      <c r="AE44" s="5">
        <f t="shared" si="8"/>
        <v>0.06</v>
      </c>
      <c r="AF44" s="5">
        <f t="shared" si="8"/>
        <v>0.06</v>
      </c>
      <c r="AG44" s="5">
        <f t="shared" si="8"/>
        <v>0.06</v>
      </c>
      <c r="AH44" s="5">
        <f t="shared" si="8"/>
        <v>0.06</v>
      </c>
      <c r="AI44" s="5">
        <f t="shared" si="8"/>
        <v>0.06</v>
      </c>
      <c r="AJ44" s="5">
        <f t="shared" si="8"/>
        <v>0.06</v>
      </c>
      <c r="AK44" s="5">
        <f t="shared" si="8"/>
        <v>0.06</v>
      </c>
      <c r="AL44" s="5">
        <f t="shared" si="8"/>
        <v>0.06</v>
      </c>
      <c r="AM44" s="5">
        <f t="shared" si="8"/>
        <v>0.06</v>
      </c>
      <c r="AN44" s="5">
        <f t="shared" si="8"/>
        <v>0.06</v>
      </c>
      <c r="AO44" s="5">
        <f t="shared" si="8"/>
        <v>0.06</v>
      </c>
      <c r="AP44" s="5">
        <f t="shared" ref="AP44:BJ44" si="9">$I$44</f>
        <v>0.06</v>
      </c>
      <c r="AQ44" s="5">
        <f t="shared" si="9"/>
        <v>0.06</v>
      </c>
      <c r="AR44" s="5">
        <f t="shared" si="9"/>
        <v>0.06</v>
      </c>
      <c r="AS44" s="5">
        <f t="shared" si="9"/>
        <v>0.06</v>
      </c>
      <c r="AT44" s="5">
        <f t="shared" si="9"/>
        <v>0.06</v>
      </c>
      <c r="AU44" s="5">
        <f t="shared" si="9"/>
        <v>0.06</v>
      </c>
      <c r="AV44" s="5">
        <f t="shared" si="9"/>
        <v>0.06</v>
      </c>
      <c r="AW44" s="5">
        <f t="shared" si="9"/>
        <v>0.06</v>
      </c>
      <c r="AX44" s="5">
        <f t="shared" si="9"/>
        <v>0.06</v>
      </c>
      <c r="AY44" s="5">
        <f t="shared" si="9"/>
        <v>0.06</v>
      </c>
      <c r="AZ44" s="5">
        <f t="shared" si="9"/>
        <v>0.06</v>
      </c>
      <c r="BA44" s="5">
        <f t="shared" si="9"/>
        <v>0.06</v>
      </c>
      <c r="BB44" s="5">
        <f t="shared" si="9"/>
        <v>0.06</v>
      </c>
      <c r="BC44" s="5">
        <f t="shared" si="9"/>
        <v>0.06</v>
      </c>
      <c r="BD44" s="5">
        <f t="shared" si="9"/>
        <v>0.06</v>
      </c>
      <c r="BE44" s="5">
        <f t="shared" si="9"/>
        <v>0.06</v>
      </c>
      <c r="BF44" s="5">
        <f t="shared" si="9"/>
        <v>0.06</v>
      </c>
      <c r="BG44" s="5">
        <f t="shared" si="9"/>
        <v>0.06</v>
      </c>
      <c r="BH44" s="5">
        <f t="shared" si="9"/>
        <v>0.06</v>
      </c>
      <c r="BI44" s="5">
        <f t="shared" si="9"/>
        <v>0.06</v>
      </c>
      <c r="BJ44" s="5">
        <f t="shared" si="9"/>
        <v>0.06</v>
      </c>
    </row>
    <row r="45" spans="4:62" x14ac:dyDescent="0.15">
      <c r="D45" t="s">
        <v>85</v>
      </c>
      <c r="I45" s="22">
        <f ca="1">F31</f>
        <v>2614402.1783642969</v>
      </c>
      <c r="J45" s="3">
        <f ca="1">SUM(J41,J42) * ( 1 + J44 )</f>
        <v>2529807.8942952589</v>
      </c>
      <c r="K45" s="3">
        <f t="shared" ref="K45:BJ45" ca="1" si="10">SUM(K41,K42) * ( 1 + K44 )</f>
        <v>2432652.7423241809</v>
      </c>
      <c r="L45" s="3">
        <f t="shared" ca="1" si="10"/>
        <v>2321951.0288403458</v>
      </c>
      <c r="M45" s="3">
        <f t="shared" ca="1" si="10"/>
        <v>2196650.7253287584</v>
      </c>
      <c r="N45" s="3">
        <f t="shared" ca="1" si="10"/>
        <v>2055629.2652839737</v>
      </c>
      <c r="O45" s="3">
        <f t="shared" ca="1" si="10"/>
        <v>1897689.082026002</v>
      </c>
      <c r="P45" s="3">
        <f t="shared" ca="1" si="10"/>
        <v>1721552.8716581268</v>
      </c>
      <c r="Q45" s="3">
        <f t="shared" ca="1" si="10"/>
        <v>1525858.5644542067</v>
      </c>
      <c r="R45" s="3">
        <f t="shared" ca="1" si="10"/>
        <v>1309153.9869534455</v>
      </c>
      <c r="S45" s="3">
        <f t="shared" ca="1" si="10"/>
        <v>1069891.1959702303</v>
      </c>
      <c r="T45" s="3">
        <f t="shared" ca="1" si="10"/>
        <v>806420.4645918092</v>
      </c>
      <c r="U45" s="3">
        <f t="shared" ca="1" si="10"/>
        <v>516983.89903344715</v>
      </c>
      <c r="V45" s="3">
        <f t="shared" ca="1" si="10"/>
        <v>199708.66394513339</v>
      </c>
      <c r="W45" s="3">
        <f t="shared" ca="1" si="10"/>
        <v>-147400.20758841909</v>
      </c>
      <c r="X45" s="3">
        <f t="shared" ca="1" si="10"/>
        <v>-526467.44454646274</v>
      </c>
      <c r="Y45" s="3">
        <f t="shared" ca="1" si="10"/>
        <v>-939755.63568157388</v>
      </c>
      <c r="Z45" s="3">
        <f t="shared" ca="1" si="10"/>
        <v>-1389673.8227631238</v>
      </c>
      <c r="AA45" s="3">
        <f t="shared" ca="1" si="10"/>
        <v>-1878786.619386727</v>
      </c>
      <c r="AB45" s="3">
        <f t="shared" ca="1" si="10"/>
        <v>-2409823.8871927387</v>
      </c>
      <c r="AC45" s="3">
        <f t="shared" ca="1" si="10"/>
        <v>-2985691.0032570381</v>
      </c>
      <c r="AD45" s="3">
        <f t="shared" ca="1" si="10"/>
        <v>-3609479.7544530099</v>
      </c>
      <c r="AE45" s="3">
        <f t="shared" ca="1" si="10"/>
        <v>-4284479.8967417572</v>
      </c>
      <c r="AF45" s="3">
        <f t="shared" ca="1" si="10"/>
        <v>-5014191.419635498</v>
      </c>
      <c r="AG45" s="3">
        <f t="shared" ca="1" si="10"/>
        <v>-5802337.5585046299</v>
      </c>
      <c r="AH45" s="3">
        <f t="shared" ca="1" si="10"/>
        <v>-6652878.5999703305</v>
      </c>
      <c r="AI45" s="3">
        <f t="shared" ca="1" si="10"/>
        <v>-7570026.5283505907</v>
      </c>
      <c r="AJ45" s="3">
        <f t="shared" ca="1" si="10"/>
        <v>-8558260.56401751</v>
      </c>
      <c r="AK45" s="3">
        <f t="shared" ca="1" si="10"/>
        <v>-9622343.6475873869</v>
      </c>
      <c r="AL45" s="3">
        <f t="shared" ca="1" si="10"/>
        <v>-10767339.927113051</v>
      </c>
      <c r="AM45" s="3">
        <f t="shared" ca="1" si="10"/>
        <v>-11998633.308891037</v>
      </c>
      <c r="AN45" s="3">
        <f t="shared" ca="1" si="10"/>
        <v>-13321947.136146389</v>
      </c>
      <c r="AO45" s="3">
        <f t="shared" ca="1" si="10"/>
        <v>-14743365.063727442</v>
      </c>
      <c r="AP45" s="3">
        <f t="shared" ca="1" si="10"/>
        <v>-16269353.201045139</v>
      </c>
      <c r="AQ45" s="3">
        <f t="shared" ca="1" si="10"/>
        <v>-17906783.599840213</v>
      </c>
      <c r="AR45" s="3">
        <f t="shared" ca="1" si="10"/>
        <v>-19662959.167971697</v>
      </c>
      <c r="AS45" s="3">
        <f t="shared" ca="1" si="10"/>
        <v>-21545640.09530744</v>
      </c>
      <c r="AT45" s="3">
        <f t="shared" ca="1" si="10"/>
        <v>-23563071.882978309</v>
      </c>
      <c r="AU45" s="3">
        <f t="shared" ca="1" si="10"/>
        <v>-25724015.072749954</v>
      </c>
      <c r="AV45" s="3">
        <f t="shared" ca="1" si="10"/>
        <v>-28037776.779088479</v>
      </c>
      <c r="AW45" s="3">
        <f t="shared" ca="1" si="10"/>
        <v>-30514244.132668495</v>
      </c>
      <c r="AX45" s="3">
        <f t="shared" ca="1" si="10"/>
        <v>-33163919.750615191</v>
      </c>
      <c r="AY45" s="3">
        <f t="shared" ca="1" si="10"/>
        <v>-35997959.355708271</v>
      </c>
      <c r="AZ45" s="3">
        <f t="shared" ca="1" si="10"/>
        <v>-39028211.674128681</v>
      </c>
      <c r="BA45" s="3">
        <f t="shared" ca="1" si="10"/>
        <v>-42267260.74912373</v>
      </c>
      <c r="BB45" s="3">
        <f t="shared" ca="1" si="10"/>
        <v>-45728470.816229448</v>
      </c>
      <c r="BC45" s="3">
        <f t="shared" ca="1" si="10"/>
        <v>-49426033.894448414</v>
      </c>
      <c r="BD45" s="3">
        <f t="shared" ca="1" si="10"/>
        <v>-53375020.257067114</v>
      </c>
      <c r="BE45" s="3">
        <f t="shared" ca="1" si="10"/>
        <v>-57591431.95564045</v>
      </c>
      <c r="BF45" s="3">
        <f t="shared" ca="1" si="10"/>
        <v>-62092259.581105806</v>
      </c>
      <c r="BG45" s="3">
        <f t="shared" ca="1" si="10"/>
        <v>-66895542.457051024</v>
      </c>
      <c r="BH45" s="3">
        <f t="shared" ca="1" si="10"/>
        <v>-72020432.471886411</v>
      </c>
      <c r="BI45" s="3">
        <f t="shared" ca="1" si="10"/>
        <v>-77487261.769101694</v>
      </c>
      <c r="BJ45" s="3">
        <f t="shared" ca="1" si="10"/>
        <v>-83317614.527965859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Вводные</vt:lpstr>
      <vt:lpstr>Доходы</vt:lpstr>
      <vt:lpstr>Расходы</vt:lpstr>
      <vt:lpstr>Цели</vt:lpstr>
      <vt:lpstr>Баланс</vt:lpstr>
      <vt:lpstr>Сбережения</vt:lpstr>
      <vt:lpstr>Пенсия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Барт</dc:creator>
  <cp:lastModifiedBy>Ivan Bart</cp:lastModifiedBy>
  <dcterms:created xsi:type="dcterms:W3CDTF">2018-04-03T19:54:24Z</dcterms:created>
  <dcterms:modified xsi:type="dcterms:W3CDTF">2026-02-04T08:18:35Z</dcterms:modified>
</cp:coreProperties>
</file>